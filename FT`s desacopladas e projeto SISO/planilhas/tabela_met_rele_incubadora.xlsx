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Is6S3YOjf8cN0GLRFl74b6A3/rba6kym9nbEOJALDs="/>
    </ext>
  </extLst>
</workbook>
</file>

<file path=xl/sharedStrings.xml><?xml version="1.0" encoding="utf-8"?>
<sst xmlns="http://schemas.openxmlformats.org/spreadsheetml/2006/main" count="32" uniqueCount="17">
  <si>
    <t>Temperatura</t>
  </si>
  <si>
    <t>a_max</t>
  </si>
  <si>
    <t>a_min</t>
  </si>
  <si>
    <t>T1</t>
  </si>
  <si>
    <t>T2</t>
  </si>
  <si>
    <t>a</t>
  </si>
  <si>
    <t>d</t>
  </si>
  <si>
    <t>eps</t>
  </si>
  <si>
    <t>Tu</t>
  </si>
  <si>
    <t>Re(G)</t>
  </si>
  <si>
    <t>Im(G)</t>
  </si>
  <si>
    <t>|G|</t>
  </si>
  <si>
    <t>Fase de G</t>
  </si>
  <si>
    <t>Ponto Crítico</t>
  </si>
  <si>
    <t>Ponto de Projeto</t>
  </si>
  <si>
    <t>Ponto de máxima Derivada de Im{G(s)}</t>
  </si>
  <si>
    <t>Umidade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</si>
</sst>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9.71"/>
    <col customWidth="1" min="6" max="8" width="8.86"/>
    <col customWidth="1" min="9" max="10" width="14.14"/>
    <col customWidth="1" min="11" max="12" width="12.86"/>
    <col customWidth="1" min="13" max="13" width="36.43"/>
    <col customWidth="1" min="14" max="26" width="8.86"/>
  </cols>
  <sheetData>
    <row r="1" ht="14.2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/>
      <c r="N2" s="1"/>
      <c r="O2" s="2"/>
      <c r="P2" s="2"/>
    </row>
    <row r="3" ht="14.25" customHeight="1">
      <c r="A3" s="1">
        <v>32.2229</v>
      </c>
      <c r="B3" s="1">
        <v>21.5385</v>
      </c>
      <c r="C3" s="1">
        <v>7200.0</v>
      </c>
      <c r="D3" s="1">
        <v>7992.0</v>
      </c>
      <c r="E3" s="3">
        <f t="shared" ref="E3:E7" si="1">(A3-B3)/2</f>
        <v>5.3422</v>
      </c>
      <c r="F3" s="3">
        <v>16.0</v>
      </c>
      <c r="G3" s="3">
        <v>0.0</v>
      </c>
      <c r="H3" s="3">
        <f t="shared" ref="H3:H7" si="2">(D3-C3)</f>
        <v>792</v>
      </c>
      <c r="I3" s="3">
        <f t="shared" ref="I3:I7" si="3">-3.14*SQRT(POWER(E3,2)-POWER(G3,2))/(4*F3)</f>
        <v>-0.2621016875</v>
      </c>
      <c r="J3" s="3">
        <f t="shared" ref="J3:J7" si="4">(-3.14*G3)/(4*F3)</f>
        <v>0</v>
      </c>
      <c r="K3" s="3">
        <f t="shared" ref="K3:K7" si="5">SQRT(POWER(I3,2)+POWER(J3,2))</f>
        <v>0.2621016875</v>
      </c>
      <c r="L3" s="3">
        <f>ATAN(J3/I3)</f>
        <v>0</v>
      </c>
      <c r="M3" s="3" t="s">
        <v>13</v>
      </c>
      <c r="N3" s="4"/>
      <c r="O3" s="2"/>
      <c r="P3" s="2"/>
    </row>
    <row r="4" ht="14.25" customHeight="1">
      <c r="A4" s="1">
        <v>31.1105</v>
      </c>
      <c r="B4" s="1">
        <v>20.7097</v>
      </c>
      <c r="C4" s="1">
        <v>3024.0</v>
      </c>
      <c r="D4" s="1">
        <v>3906.0</v>
      </c>
      <c r="E4" s="5">
        <f t="shared" si="1"/>
        <v>5.2004</v>
      </c>
      <c r="F4" s="5">
        <v>16.0</v>
      </c>
      <c r="G4" s="5">
        <v>1.0</v>
      </c>
      <c r="H4" s="5">
        <f t="shared" si="2"/>
        <v>882</v>
      </c>
      <c r="I4" s="5">
        <f t="shared" si="3"/>
        <v>-0.2503830081</v>
      </c>
      <c r="J4" s="5">
        <f t="shared" si="4"/>
        <v>-0.0490625</v>
      </c>
      <c r="K4" s="5">
        <f t="shared" si="5"/>
        <v>0.255144625</v>
      </c>
      <c r="L4" s="5">
        <f t="shared" ref="L4:L7" si="6">(ATAN(J4/I4)*180/3.14)</f>
        <v>11.09224888</v>
      </c>
      <c r="M4" s="5" t="s">
        <v>14</v>
      </c>
      <c r="N4" s="1"/>
      <c r="O4" s="2"/>
      <c r="P4" s="2"/>
    </row>
    <row r="5" ht="14.25" customHeight="1">
      <c r="A5" s="1">
        <v>33.1934</v>
      </c>
      <c r="B5" s="1">
        <v>19.7391</v>
      </c>
      <c r="C5" s="1">
        <v>5094.0</v>
      </c>
      <c r="D5" s="1">
        <v>6228.0</v>
      </c>
      <c r="E5" s="1">
        <f t="shared" si="1"/>
        <v>6.72715</v>
      </c>
      <c r="F5" s="1">
        <v>16.0</v>
      </c>
      <c r="G5" s="1">
        <v>2.0</v>
      </c>
      <c r="H5" s="1">
        <f t="shared" si="2"/>
        <v>1134</v>
      </c>
      <c r="I5" s="1">
        <f t="shared" si="3"/>
        <v>-0.315126979</v>
      </c>
      <c r="J5" s="1">
        <f t="shared" si="4"/>
        <v>-0.098125</v>
      </c>
      <c r="K5" s="1">
        <f t="shared" si="5"/>
        <v>0.3300507969</v>
      </c>
      <c r="L5" s="1">
        <f t="shared" si="6"/>
        <v>17.30444272</v>
      </c>
      <c r="M5" s="1"/>
      <c r="N5" s="1"/>
      <c r="O5" s="2"/>
      <c r="P5" s="2"/>
    </row>
    <row r="6" ht="14.25" customHeight="1">
      <c r="A6" s="1">
        <v>34.4962</v>
      </c>
      <c r="B6" s="1">
        <v>18.8121</v>
      </c>
      <c r="C6" s="1">
        <v>3798.0</v>
      </c>
      <c r="D6" s="1">
        <v>5256.0</v>
      </c>
      <c r="E6" s="6">
        <f t="shared" si="1"/>
        <v>7.84205</v>
      </c>
      <c r="F6" s="6">
        <v>16.0</v>
      </c>
      <c r="G6" s="6">
        <v>3.0</v>
      </c>
      <c r="H6" s="6">
        <f t="shared" si="2"/>
        <v>1458</v>
      </c>
      <c r="I6" s="6">
        <f t="shared" si="3"/>
        <v>-0.355483962</v>
      </c>
      <c r="J6" s="6">
        <f t="shared" si="4"/>
        <v>-0.1471875</v>
      </c>
      <c r="K6" s="6">
        <f t="shared" si="5"/>
        <v>0.3847505781</v>
      </c>
      <c r="L6" s="6">
        <f t="shared" si="6"/>
        <v>22.50332145</v>
      </c>
      <c r="M6" s="6" t="s">
        <v>15</v>
      </c>
      <c r="N6" s="1"/>
      <c r="O6" s="2"/>
      <c r="P6" s="2"/>
    </row>
    <row r="7" ht="14.25" customHeight="1">
      <c r="A7" s="1">
        <v>33.259</v>
      </c>
      <c r="B7" s="1">
        <v>17.9224</v>
      </c>
      <c r="C7" s="1">
        <v>5292.0</v>
      </c>
      <c r="D7" s="1">
        <v>7254.0</v>
      </c>
      <c r="E7" s="1">
        <f t="shared" si="1"/>
        <v>7.6683</v>
      </c>
      <c r="F7" s="1">
        <v>16.0</v>
      </c>
      <c r="G7" s="1">
        <v>4.0</v>
      </c>
      <c r="H7" s="1">
        <f t="shared" si="2"/>
        <v>1962</v>
      </c>
      <c r="I7" s="1">
        <f t="shared" si="3"/>
        <v>-0.3209858518</v>
      </c>
      <c r="J7" s="1">
        <f t="shared" si="4"/>
        <v>-0.19625</v>
      </c>
      <c r="K7" s="1">
        <f t="shared" si="5"/>
        <v>0.3762259688</v>
      </c>
      <c r="L7" s="1">
        <f t="shared" si="6"/>
        <v>31.45746567</v>
      </c>
      <c r="M7" s="1"/>
      <c r="N7" s="1"/>
      <c r="O7" s="2"/>
      <c r="P7" s="2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</row>
    <row r="9" ht="14.25" customHeight="1">
      <c r="A9" s="1"/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ht="14.25" customHeight="1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/>
      <c r="N10" s="1"/>
      <c r="O10" s="1"/>
    </row>
    <row r="11" ht="14.25" customHeight="1">
      <c r="A11" s="1">
        <v>73.208</v>
      </c>
      <c r="B11" s="1">
        <v>49.7043</v>
      </c>
      <c r="C11" s="1">
        <v>1836.0</v>
      </c>
      <c r="D11" s="1">
        <v>2052.0</v>
      </c>
      <c r="E11" s="3">
        <f t="shared" ref="E11:E15" si="7">(A11-B11)/2</f>
        <v>11.75185</v>
      </c>
      <c r="F11" s="3">
        <v>35.0</v>
      </c>
      <c r="G11" s="3">
        <v>0.0</v>
      </c>
      <c r="H11" s="3">
        <f t="shared" ref="H11:H15" si="8">(D11-C11)</f>
        <v>216</v>
      </c>
      <c r="I11" s="3">
        <f t="shared" ref="I11:I15" si="9">-3.14*SQRT(POWER(E11,2)-POWER(G11,2))/(4*F11)</f>
        <v>-0.2635772071</v>
      </c>
      <c r="J11" s="3">
        <f t="shared" ref="J11:J15" si="10">(-3.14*G11)/(4*F11)</f>
        <v>0</v>
      </c>
      <c r="K11" s="3">
        <f t="shared" ref="K11:K15" si="11">SQRT(POWER(I11,2)+POWER(J11,2))</f>
        <v>0.2635772071</v>
      </c>
      <c r="L11" s="3">
        <f t="shared" ref="L11:L15" si="12">(ATAN(J11/I11)*180/3.14)</f>
        <v>0</v>
      </c>
      <c r="M11" s="3" t="s">
        <v>13</v>
      </c>
      <c r="N11" s="1"/>
      <c r="O11" s="1"/>
    </row>
    <row r="12" ht="14.25" customHeight="1">
      <c r="A12" s="1">
        <v>72.0562</v>
      </c>
      <c r="B12" s="1">
        <v>49.0612</v>
      </c>
      <c r="C12" s="1">
        <v>1872.0</v>
      </c>
      <c r="D12" s="1">
        <v>2088.0</v>
      </c>
      <c r="E12" s="1">
        <f t="shared" si="7"/>
        <v>11.4975</v>
      </c>
      <c r="F12" s="1">
        <v>35.0</v>
      </c>
      <c r="G12" s="1">
        <v>0.5</v>
      </c>
      <c r="H12" s="1">
        <f t="shared" si="8"/>
        <v>216</v>
      </c>
      <c r="I12" s="1">
        <f t="shared" si="9"/>
        <v>-0.2576285428</v>
      </c>
      <c r="J12" s="1">
        <f t="shared" si="10"/>
        <v>-0.01121428571</v>
      </c>
      <c r="K12" s="1">
        <f t="shared" si="11"/>
        <v>0.2578725</v>
      </c>
      <c r="L12" s="1">
        <f t="shared" si="12"/>
        <v>2.493712754</v>
      </c>
      <c r="M12" s="1"/>
      <c r="N12" s="1"/>
      <c r="O12" s="1"/>
    </row>
    <row r="13" ht="14.25" customHeight="1">
      <c r="A13" s="1">
        <v>71.7202</v>
      </c>
      <c r="B13" s="1">
        <v>48.9246</v>
      </c>
      <c r="C13" s="1">
        <v>1710.0</v>
      </c>
      <c r="D13" s="1">
        <v>1926.0</v>
      </c>
      <c r="E13" s="5">
        <f t="shared" si="7"/>
        <v>11.3978</v>
      </c>
      <c r="F13" s="5">
        <v>35.0</v>
      </c>
      <c r="G13" s="5">
        <v>1.0</v>
      </c>
      <c r="H13" s="5">
        <f t="shared" si="8"/>
        <v>216</v>
      </c>
      <c r="I13" s="5">
        <f t="shared" si="9"/>
        <v>-0.2546505715</v>
      </c>
      <c r="J13" s="5">
        <f t="shared" si="10"/>
        <v>-0.02242857143</v>
      </c>
      <c r="K13" s="5">
        <f t="shared" si="11"/>
        <v>0.2556363714</v>
      </c>
      <c r="L13" s="5">
        <f t="shared" si="12"/>
        <v>5.035940364</v>
      </c>
      <c r="M13" s="5" t="s">
        <v>14</v>
      </c>
      <c r="N13" s="5"/>
      <c r="O13" s="1"/>
    </row>
    <row r="14" ht="14.25" customHeight="1">
      <c r="A14" s="1">
        <v>71.6369</v>
      </c>
      <c r="B14" s="1">
        <v>47.7851</v>
      </c>
      <c r="C14" s="1">
        <v>1746.0</v>
      </c>
      <c r="D14" s="1">
        <v>1980.0</v>
      </c>
      <c r="E14" s="6">
        <f t="shared" si="7"/>
        <v>11.9259</v>
      </c>
      <c r="F14" s="6">
        <v>35.0</v>
      </c>
      <c r="G14" s="6">
        <v>1.5</v>
      </c>
      <c r="H14" s="6">
        <f t="shared" si="8"/>
        <v>234</v>
      </c>
      <c r="I14" s="6">
        <f t="shared" si="9"/>
        <v>-0.2653567222</v>
      </c>
      <c r="J14" s="6">
        <f t="shared" si="10"/>
        <v>-0.03364285714</v>
      </c>
      <c r="K14" s="6">
        <f t="shared" si="11"/>
        <v>0.2674809</v>
      </c>
      <c r="L14" s="6">
        <f t="shared" si="12"/>
        <v>7.229274683</v>
      </c>
      <c r="M14" s="6" t="s">
        <v>15</v>
      </c>
      <c r="N14" s="1"/>
      <c r="O14" s="1"/>
    </row>
    <row r="15" ht="14.25" customHeight="1">
      <c r="A15" s="1">
        <v>71.6368</v>
      </c>
      <c r="B15" s="1">
        <v>47.785</v>
      </c>
      <c r="C15" s="1">
        <v>1764.0</v>
      </c>
      <c r="D15" s="1">
        <v>1998.0</v>
      </c>
      <c r="E15" s="1">
        <f t="shared" si="7"/>
        <v>11.9259</v>
      </c>
      <c r="F15" s="1">
        <v>35.0</v>
      </c>
      <c r="G15" s="1">
        <v>2.0</v>
      </c>
      <c r="H15" s="1">
        <f t="shared" si="8"/>
        <v>234</v>
      </c>
      <c r="I15" s="1">
        <f t="shared" si="9"/>
        <v>-0.2636927542</v>
      </c>
      <c r="J15" s="1">
        <f t="shared" si="10"/>
        <v>-0.04485714286</v>
      </c>
      <c r="K15" s="1">
        <f t="shared" si="11"/>
        <v>0.2674809</v>
      </c>
      <c r="L15" s="1">
        <f t="shared" si="12"/>
        <v>9.659145294</v>
      </c>
      <c r="M15" s="1"/>
      <c r="N15" s="1"/>
      <c r="O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4.25" customHeight="1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4.25" customHeight="1">
      <c r="E18" s="1"/>
      <c r="F18" s="1"/>
      <c r="G18" s="1"/>
      <c r="H18" s="1"/>
      <c r="I18" s="1"/>
      <c r="J18" s="1"/>
      <c r="K18" s="1"/>
      <c r="L18" s="1"/>
    </row>
    <row r="19" ht="14.25" customHeight="1">
      <c r="E19" s="7"/>
      <c r="F19" s="1"/>
      <c r="G19" s="1"/>
      <c r="H19" s="7"/>
      <c r="I19" s="1"/>
      <c r="J19" s="1"/>
      <c r="K19" s="1"/>
      <c r="L19" s="1"/>
      <c r="M19" s="7"/>
    </row>
    <row r="20" ht="14.25" customHeight="1">
      <c r="E20" s="7"/>
      <c r="F20" s="1"/>
      <c r="G20" s="1"/>
      <c r="H20" s="7"/>
      <c r="I20" s="1"/>
      <c r="J20" s="1"/>
      <c r="K20" s="1"/>
      <c r="L20" s="1"/>
      <c r="M20" s="7"/>
    </row>
    <row r="21" ht="14.25" customHeight="1">
      <c r="E21" s="7"/>
      <c r="F21" s="1"/>
      <c r="G21" s="1"/>
      <c r="H21" s="7"/>
      <c r="I21" s="1"/>
      <c r="J21" s="1"/>
      <c r="K21" s="1"/>
      <c r="L21" s="1"/>
      <c r="M21" s="7"/>
    </row>
    <row r="22" ht="14.25" customHeight="1">
      <c r="E22" s="7"/>
      <c r="F22" s="1"/>
      <c r="G22" s="7"/>
      <c r="H22" s="7"/>
      <c r="I22" s="1"/>
      <c r="J22" s="1"/>
      <c r="K22" s="1"/>
      <c r="L22" s="1"/>
      <c r="M22" s="7"/>
    </row>
    <row r="23" ht="14.25" customHeight="1">
      <c r="E23" s="7"/>
      <c r="F23" s="7"/>
      <c r="G23" s="7"/>
      <c r="H23" s="7"/>
      <c r="I23" s="7"/>
      <c r="J23" s="7"/>
      <c r="K23" s="7"/>
      <c r="L23" s="7"/>
      <c r="M23" s="7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2025-05-27T13:48:00Z</dcterms:created>
  <dc:creator>aliba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54A4DE58066B476DAD9C31114C36CF37_11</vt:lpwstr>
  </property>
  <property fmtid="{D5CDD505-2E9C-101B-9397-08002B2CF9AE}" pid="3" name="KSOProductBuildVer">
    <vt:lpwstr>2057-12.2.0.22556</vt:lpwstr>
  </property>
</Properties>
</file>