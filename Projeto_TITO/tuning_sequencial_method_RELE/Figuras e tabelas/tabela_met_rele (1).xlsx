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ágin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<sst xmlns="http://schemas.openxmlformats.org/spreadsheetml/2006/main" count="40" uniqueCount="19">
  <si>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Tabelas utilizadas para salvar os dados obtidos via experimentação para a Q1b da AV3 de Controle Digital</t>
  </si>
  <si>
    <t>Discentes - Matrícula:</t>
  </si>
  <si>
    <t>Aline Crislainy Barbosa da Silva Sousa - 20229004604</t>
  </si>
  <si>
    <t>Adeilton Juscelino da Silva - 20229004650</t>
  </si>
  <si>
    <t>Tabela 1 - Dados do Relé de Aström</t>
  </si>
  <si>
    <t>a</t>
  </si>
  <si>
    <t>d</t>
  </si>
  <si>
    <t>eps</t>
  </si>
  <si>
    <t>Tu</t>
  </si>
  <si>
    <t>Re(G)</t>
  </si>
  <si>
    <t>Im(G)</t>
  </si>
  <si>
    <t>|G|</t>
  </si>
  <si>
    <t>Fase de G</t>
  </si>
  <si>
    <t>Ponto Crítico</t>
  </si>
  <si>
    <t>Ponto escolhido para projeto</t>
  </si>
  <si>
    <t>Ponto de máxima derivada</t>
  </si>
  <si>
    <t>Tabela 2</t>
  </si>
  <si>
    <t>Ponto de projeto</t>
  </si>
  <si>
    <t>Tabela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</si>
</sst>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06666"/>
        <bgColor rgb="FFEA9999"/>
      </patternFill>
    </fill>
    <fill>
      <patternFill patternType="solid">
        <fgColor rgb="FFE06666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4"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6" borderId="3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066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007"/>
  <sheetViews>
    <sheetView tabSelected="1" workbookViewId="0">
      <selection activeCell="M28" sqref="M28"/>
    </sheetView>
  </sheetViews>
  <sheetFormatPr defaultColWidth="14.4259259259259" defaultRowHeight="15" customHeight="1"/>
  <cols>
    <col min="1" max="5" width="8.86111111111111" customWidth="1"/>
    <col min="6" max="6" width="14.1388888888889" customWidth="1"/>
    <col min="7" max="7" width="10.712962962963" customWidth="1"/>
    <col min="8" max="9" width="12.8611111111111" customWidth="1"/>
    <col min="10" max="10" width="26.4259259259259" customWidth="1"/>
    <col min="11" max="27" width="8.86111111111111" customWidth="1"/>
  </cols>
  <sheetData>
    <row r="1" ht="14.25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4.25" customHeight="1" spans="1:13">
      <c r="A2" s="1"/>
      <c r="B2" s="1" t="s">
        <v>0</v>
      </c>
      <c r="K2" s="1"/>
      <c r="L2" s="1"/>
      <c r="M2" s="1"/>
    </row>
    <row r="3" ht="14.25" customHeight="1" spans="1:1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</row>
    <row r="4" ht="14.25" customHeight="1" spans="1:13">
      <c r="A4" s="2"/>
      <c r="B4" s="3" t="s">
        <v>2</v>
      </c>
      <c r="C4" s="2"/>
      <c r="D4" s="2"/>
      <c r="E4" s="2"/>
      <c r="F4" s="2"/>
      <c r="G4" s="2"/>
      <c r="H4" s="2"/>
      <c r="I4" s="2"/>
      <c r="J4" s="2"/>
      <c r="K4" s="1"/>
      <c r="L4" s="1"/>
      <c r="M4" s="1"/>
    </row>
    <row r="5" ht="14.25" customHeight="1" spans="1:13">
      <c r="A5" s="2"/>
      <c r="B5" s="3" t="s">
        <v>3</v>
      </c>
      <c r="C5" s="2"/>
      <c r="D5" s="2"/>
      <c r="E5" s="2"/>
      <c r="F5" s="2"/>
      <c r="G5" s="2"/>
      <c r="H5" s="2"/>
      <c r="I5" s="2"/>
      <c r="J5" s="2"/>
      <c r="K5" s="1"/>
      <c r="L5" s="1"/>
      <c r="M5" s="1"/>
    </row>
    <row r="6" ht="14.25" customHeight="1" spans="1:13">
      <c r="A6" s="2"/>
      <c r="B6" s="4"/>
      <c r="C6" s="2"/>
      <c r="D6" s="2"/>
      <c r="E6" s="2"/>
      <c r="F6" s="2"/>
      <c r="G6" s="2"/>
      <c r="H6" s="2"/>
      <c r="I6" s="2"/>
      <c r="J6" s="2"/>
      <c r="K6" s="1"/>
      <c r="L6" s="1"/>
      <c r="M6" s="1"/>
    </row>
    <row r="7" ht="14.25" customHeight="1" spans="1:13">
      <c r="A7" s="2"/>
      <c r="B7" s="5" t="s">
        <v>4</v>
      </c>
      <c r="C7" s="6"/>
      <c r="D7" s="6"/>
      <c r="E7" s="6"/>
      <c r="F7" s="6"/>
      <c r="G7" s="6"/>
      <c r="H7" s="6"/>
      <c r="I7" s="6"/>
      <c r="J7" s="16"/>
      <c r="K7" s="1"/>
      <c r="L7" s="1"/>
      <c r="M7" s="1"/>
    </row>
    <row r="8" ht="14.25" customHeight="1" spans="1:13">
      <c r="A8" s="2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17"/>
      <c r="K8" s="1"/>
      <c r="L8" s="1"/>
      <c r="M8" s="1"/>
    </row>
    <row r="9" ht="14.25" customHeight="1" spans="1:13">
      <c r="A9" s="2"/>
      <c r="B9" s="8">
        <v>0.02982</v>
      </c>
      <c r="C9" s="8">
        <v>0.1</v>
      </c>
      <c r="D9" s="8">
        <v>0</v>
      </c>
      <c r="E9" s="8">
        <v>12</v>
      </c>
      <c r="F9" s="8">
        <f>-3.14*SQRT(POWER(B9,2)-POWER(D9,2))/(4*C9)</f>
        <v>-0.234087</v>
      </c>
      <c r="G9" s="8">
        <f>(-3.14*D9)/(4*C9)</f>
        <v>0</v>
      </c>
      <c r="H9" s="8">
        <f>SQRT(POWER(F9,2)+POWER(G9,2))</f>
        <v>0.234087</v>
      </c>
      <c r="I9" s="8">
        <f t="shared" ref="I9:I11" si="0">(ATAN(G9/F9)*180/3.14)</f>
        <v>0</v>
      </c>
      <c r="J9" s="18" t="s">
        <v>13</v>
      </c>
      <c r="K9" s="1"/>
      <c r="L9" s="1"/>
      <c r="M9" s="1"/>
    </row>
    <row r="10" ht="14.25" customHeight="1" spans="1:13">
      <c r="A10" s="2"/>
      <c r="B10" s="7">
        <v>0.03699</v>
      </c>
      <c r="C10" s="7">
        <v>0.1</v>
      </c>
      <c r="D10" s="7">
        <v>0.02</v>
      </c>
      <c r="E10" s="7">
        <v>16</v>
      </c>
      <c r="F10" s="7">
        <f>-3.14*SQRT(POWER(B10,2)-POWER(D10,2))/(4*C10)</f>
        <v>-0.244267492745658</v>
      </c>
      <c r="G10" s="7">
        <f>(-3.14*D10)/(4*C10)</f>
        <v>-0.157</v>
      </c>
      <c r="H10" s="7">
        <f>SQRT(POWER(F10,2)+POWER(G10,2))</f>
        <v>0.2903715</v>
      </c>
      <c r="I10" s="7">
        <f t="shared" si="0"/>
        <v>32.7469971630442</v>
      </c>
      <c r="J10" s="17"/>
      <c r="K10" s="1"/>
      <c r="L10" s="1"/>
      <c r="M10" s="1"/>
    </row>
    <row r="11" ht="14.25" customHeight="1" spans="1:13">
      <c r="A11" s="2"/>
      <c r="B11" s="9">
        <v>0.04675</v>
      </c>
      <c r="C11" s="9">
        <v>0.1</v>
      </c>
      <c r="D11" s="9">
        <v>0.03</v>
      </c>
      <c r="E11" s="9">
        <v>20</v>
      </c>
      <c r="F11" s="9">
        <f>-3.14*SQRT(POWER(B11,2)-POWER(D11,2))/(4*C11)</f>
        <v>-0.28145972208515</v>
      </c>
      <c r="G11" s="9">
        <f>(-3.14*D11)/(4*C11)</f>
        <v>-0.2355</v>
      </c>
      <c r="H11" s="9">
        <f>SQRT(POWER(F11,2)+POWER(G11,2))</f>
        <v>0.3669875</v>
      </c>
      <c r="I11" s="9">
        <f t="shared" si="0"/>
        <v>39.939788048725</v>
      </c>
      <c r="J11" s="9" t="s">
        <v>14</v>
      </c>
      <c r="K11" s="1"/>
      <c r="L11" s="1"/>
      <c r="M11" s="1"/>
    </row>
    <row r="12" ht="14.25" customHeight="1" spans="1:13">
      <c r="A12" s="2"/>
      <c r="B12" s="7">
        <v>0.05636</v>
      </c>
      <c r="C12" s="7">
        <v>0.1</v>
      </c>
      <c r="D12" s="7">
        <v>0.04</v>
      </c>
      <c r="E12" s="7">
        <v>24</v>
      </c>
      <c r="F12" s="7">
        <f t="shared" ref="F12:F15" si="1">-3.14*SQRT(POWER(B12,2)-POWER(D12,2))/(4*C12)</f>
        <v>-0.311680550365274</v>
      </c>
      <c r="G12" s="7">
        <f t="shared" ref="G12:G15" si="2">(-3.14*D12)/(4*C12)</f>
        <v>-0.314</v>
      </c>
      <c r="H12" s="7">
        <f t="shared" ref="H12:H15" si="3">SQRT(POWER(F12,2)+POWER(G12,2))</f>
        <v>0.442426</v>
      </c>
      <c r="I12" s="7">
        <f t="shared" ref="I12:I15" si="4">(ATAN(G12/F12)*180/3.14)</f>
        <v>45.2353316136955</v>
      </c>
      <c r="J12" s="17"/>
      <c r="K12" s="1"/>
      <c r="L12" s="1"/>
      <c r="M12" s="1"/>
    </row>
    <row r="13" ht="14.25" customHeight="1" spans="1:13">
      <c r="A13" s="2"/>
      <c r="B13" s="10">
        <v>0.07383</v>
      </c>
      <c r="C13" s="10">
        <v>0.1</v>
      </c>
      <c r="D13" s="10">
        <v>0.06</v>
      </c>
      <c r="E13" s="10">
        <v>32</v>
      </c>
      <c r="F13" s="10">
        <f t="shared" si="1"/>
        <v>-0.337720548368396</v>
      </c>
      <c r="G13" s="10">
        <f t="shared" si="2"/>
        <v>-0.471</v>
      </c>
      <c r="H13" s="10">
        <f t="shared" si="3"/>
        <v>0.5795655</v>
      </c>
      <c r="I13" s="10">
        <f t="shared" si="4"/>
        <v>54.3859596565574</v>
      </c>
      <c r="J13" s="10" t="s">
        <v>15</v>
      </c>
      <c r="K13" s="1"/>
      <c r="L13" s="1"/>
      <c r="M13" s="1"/>
    </row>
    <row r="14" ht="14.25" customHeight="1" spans="1:13">
      <c r="A14" s="2"/>
      <c r="B14" s="7">
        <v>0.08993</v>
      </c>
      <c r="C14" s="7">
        <v>0.1</v>
      </c>
      <c r="D14" s="7">
        <v>0.08</v>
      </c>
      <c r="E14" s="7">
        <v>40</v>
      </c>
      <c r="F14" s="7">
        <f t="shared" si="1"/>
        <v>-0.322462569068489</v>
      </c>
      <c r="G14" s="7">
        <f t="shared" si="2"/>
        <v>-0.628</v>
      </c>
      <c r="H14" s="7">
        <f t="shared" si="3"/>
        <v>0.7059505</v>
      </c>
      <c r="I14" s="7">
        <f t="shared" si="4"/>
        <v>62.8524792401574</v>
      </c>
      <c r="J14" s="17"/>
      <c r="K14" s="1"/>
      <c r="L14" s="1"/>
      <c r="M14" s="1"/>
    </row>
    <row r="15" ht="14.25" customHeight="1" spans="1:13">
      <c r="A15" s="2"/>
      <c r="B15" s="7">
        <v>0.10392</v>
      </c>
      <c r="C15" s="7">
        <v>0.1</v>
      </c>
      <c r="D15" s="7">
        <v>0.1</v>
      </c>
      <c r="E15" s="7">
        <v>48</v>
      </c>
      <c r="F15" s="7">
        <f t="shared" si="1"/>
        <v>-0.22194358739103</v>
      </c>
      <c r="G15" s="7">
        <f t="shared" si="2"/>
        <v>-0.785</v>
      </c>
      <c r="H15" s="7">
        <f t="shared" si="3"/>
        <v>0.815772</v>
      </c>
      <c r="I15" s="7">
        <f t="shared" si="4"/>
        <v>74.2504161874457</v>
      </c>
      <c r="J15" s="17"/>
      <c r="K15" s="1"/>
      <c r="L15" s="1"/>
      <c r="M15" s="1"/>
    </row>
    <row r="16" ht="14.25" customHeight="1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4.25" customHeight="1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4.25" customHeight="1" spans="1:12">
      <c r="A18" s="2"/>
      <c r="B18" s="5" t="s">
        <v>16</v>
      </c>
      <c r="C18" s="6"/>
      <c r="D18" s="6"/>
      <c r="E18" s="6"/>
      <c r="F18" s="6"/>
      <c r="G18" s="6"/>
      <c r="H18" s="6"/>
      <c r="I18" s="6"/>
      <c r="J18" s="16"/>
      <c r="K18" s="2"/>
      <c r="L18" s="2"/>
    </row>
    <row r="19" ht="14.25" customHeight="1" spans="1:12">
      <c r="A19" s="2"/>
      <c r="B19" s="7" t="s">
        <v>5</v>
      </c>
      <c r="C19" s="7" t="s">
        <v>6</v>
      </c>
      <c r="D19" s="7" t="s">
        <v>7</v>
      </c>
      <c r="E19" s="7" t="s">
        <v>8</v>
      </c>
      <c r="F19" s="7" t="s">
        <v>9</v>
      </c>
      <c r="G19" s="7" t="s">
        <v>10</v>
      </c>
      <c r="H19" s="7" t="s">
        <v>11</v>
      </c>
      <c r="I19" s="7" t="s">
        <v>12</v>
      </c>
      <c r="J19" s="17"/>
      <c r="K19" s="2"/>
      <c r="L19" s="2"/>
    </row>
    <row r="20" ht="14.25" customHeight="1" spans="1:12">
      <c r="A20" s="2"/>
      <c r="B20" s="8">
        <v>0.0184</v>
      </c>
      <c r="C20" s="8">
        <v>0.1</v>
      </c>
      <c r="D20" s="8">
        <v>0</v>
      </c>
      <c r="E20" s="8">
        <v>12</v>
      </c>
      <c r="F20" s="8">
        <f t="shared" ref="F20:F33" si="5">-3.14*SQRT(POWER(B20,2)-POWER(D20,2))/(4*C20)</f>
        <v>-0.14444</v>
      </c>
      <c r="G20" s="8">
        <f t="shared" ref="G20:G33" si="6">(-3.14*D20)/(4*C20)</f>
        <v>0</v>
      </c>
      <c r="H20" s="8">
        <f t="shared" ref="H20:H33" si="7">SQRT(POWER(F20,2)+POWER(G20,2))</f>
        <v>0.14444</v>
      </c>
      <c r="I20" s="8">
        <f t="shared" ref="I20:I33" si="8">(ATAN(G20/F20)*180/3.14)</f>
        <v>0</v>
      </c>
      <c r="J20" s="8" t="s">
        <v>13</v>
      </c>
      <c r="K20" s="2"/>
      <c r="L20" s="2"/>
    </row>
    <row r="21" ht="14.25" customHeight="1" spans="1:12">
      <c r="A21" s="2"/>
      <c r="B21" s="9">
        <v>0.0184</v>
      </c>
      <c r="C21" s="9">
        <v>0.1</v>
      </c>
      <c r="D21" s="9">
        <v>0.001</v>
      </c>
      <c r="E21" s="9">
        <v>12</v>
      </c>
      <c r="F21" s="9">
        <f t="shared" si="5"/>
        <v>-0.144226527032998</v>
      </c>
      <c r="G21" s="9">
        <f t="shared" si="6"/>
        <v>-0.00785</v>
      </c>
      <c r="H21" s="9">
        <f t="shared" si="7"/>
        <v>0.14444</v>
      </c>
      <c r="I21" s="9">
        <f t="shared" si="8"/>
        <v>3.11701621038213</v>
      </c>
      <c r="J21" s="9" t="s">
        <v>17</v>
      </c>
      <c r="K21" s="2"/>
      <c r="L21" s="2"/>
    </row>
    <row r="22" ht="14.25" customHeight="1" spans="1:12">
      <c r="A22" s="2"/>
      <c r="B22" s="7">
        <v>0.0184</v>
      </c>
      <c r="C22" s="7">
        <v>0.1</v>
      </c>
      <c r="D22" s="7">
        <v>0.0011</v>
      </c>
      <c r="E22" s="7">
        <v>12</v>
      </c>
      <c r="F22" s="7">
        <f t="shared" si="5"/>
        <v>-0.144181657553934</v>
      </c>
      <c r="G22" s="7">
        <f t="shared" si="6"/>
        <v>-0.008635</v>
      </c>
      <c r="H22" s="7">
        <f t="shared" si="7"/>
        <v>0.14444</v>
      </c>
      <c r="I22" s="7">
        <f t="shared" si="8"/>
        <v>3.42907315799625</v>
      </c>
      <c r="J22" s="7"/>
      <c r="K22" s="2"/>
      <c r="L22" s="2"/>
    </row>
    <row r="23" ht="14.25" customHeight="1" spans="1:12">
      <c r="A23" s="2"/>
      <c r="B23" s="11">
        <v>0.0222</v>
      </c>
      <c r="C23" s="11">
        <v>0.1</v>
      </c>
      <c r="D23" s="11">
        <v>0.0012</v>
      </c>
      <c r="E23" s="11">
        <v>12</v>
      </c>
      <c r="F23" s="11">
        <f t="shared" si="5"/>
        <v>-0.174015219162003</v>
      </c>
      <c r="G23" s="11">
        <f t="shared" si="6"/>
        <v>-0.00942</v>
      </c>
      <c r="H23" s="11">
        <f t="shared" si="7"/>
        <v>0.17427</v>
      </c>
      <c r="I23" s="11">
        <f t="shared" si="8"/>
        <v>3.10015098425212</v>
      </c>
      <c r="J23" s="11" t="s">
        <v>15</v>
      </c>
      <c r="K23" s="2"/>
      <c r="L23" s="2"/>
    </row>
    <row r="24" ht="14.25" customHeight="1" spans="1:12">
      <c r="A24" s="2"/>
      <c r="B24" s="7">
        <v>0.0222</v>
      </c>
      <c r="C24" s="7">
        <v>0.1</v>
      </c>
      <c r="D24" s="7">
        <v>0.0013</v>
      </c>
      <c r="E24" s="7">
        <v>12</v>
      </c>
      <c r="F24" s="7">
        <f t="shared" si="5"/>
        <v>-0.17397094836495</v>
      </c>
      <c r="G24" s="7">
        <f t="shared" si="6"/>
        <v>-0.010205</v>
      </c>
      <c r="H24" s="7">
        <f t="shared" si="7"/>
        <v>0.17427</v>
      </c>
      <c r="I24" s="7">
        <f t="shared" si="8"/>
        <v>3.35878151539099</v>
      </c>
      <c r="J24" s="17"/>
      <c r="K24" s="2"/>
      <c r="L24" s="2"/>
    </row>
    <row r="25" ht="14.25" customHeight="1" spans="1:12">
      <c r="A25" s="2"/>
      <c r="B25" s="7">
        <v>0.0221</v>
      </c>
      <c r="C25" s="7">
        <v>0.1</v>
      </c>
      <c r="D25" s="7">
        <v>0.0015</v>
      </c>
      <c r="E25" s="7">
        <v>12</v>
      </c>
      <c r="F25" s="7">
        <f t="shared" si="5"/>
        <v>-0.173084934641927</v>
      </c>
      <c r="G25" s="7">
        <f t="shared" si="6"/>
        <v>-0.011775</v>
      </c>
      <c r="H25" s="7">
        <f t="shared" si="7"/>
        <v>0.173485</v>
      </c>
      <c r="I25" s="7">
        <f t="shared" si="8"/>
        <v>3.89381987311457</v>
      </c>
      <c r="J25" s="17"/>
      <c r="K25" s="2"/>
      <c r="L25" s="2"/>
    </row>
    <row r="26" ht="14.25" customHeight="1" spans="1:10">
      <c r="A26" s="2"/>
      <c r="B26" s="7">
        <v>0.022</v>
      </c>
      <c r="C26" s="7">
        <v>0.1</v>
      </c>
      <c r="D26" s="7">
        <v>0.002</v>
      </c>
      <c r="E26" s="7">
        <v>12</v>
      </c>
      <c r="F26" s="7">
        <f t="shared" si="5"/>
        <v>-0.171984883056622</v>
      </c>
      <c r="G26" s="7">
        <f t="shared" si="6"/>
        <v>-0.0157</v>
      </c>
      <c r="H26" s="7">
        <f t="shared" si="7"/>
        <v>0.1727</v>
      </c>
      <c r="I26" s="7">
        <f t="shared" si="8"/>
        <v>5.21855415501106</v>
      </c>
      <c r="J26" s="17"/>
    </row>
    <row r="27" ht="14.25" customHeight="1" spans="1:10">
      <c r="A27" s="2"/>
      <c r="B27" s="12"/>
      <c r="C27" s="12"/>
      <c r="D27" s="12"/>
      <c r="E27" s="12"/>
      <c r="F27" s="12"/>
      <c r="G27" s="12"/>
      <c r="H27" s="12"/>
      <c r="I27" s="12"/>
      <c r="J27" s="19"/>
    </row>
    <row r="28" ht="14.25" customHeight="1" spans="1:10">
      <c r="A28" s="2"/>
      <c r="B28" s="12"/>
      <c r="C28" s="12"/>
      <c r="D28" s="12"/>
      <c r="E28" s="12"/>
      <c r="F28" s="12"/>
      <c r="G28" s="12"/>
      <c r="H28" s="12"/>
      <c r="I28" s="12"/>
      <c r="J28" s="19"/>
    </row>
    <row r="29" ht="14.25" customHeight="1" spans="1:10">
      <c r="A29" s="2"/>
      <c r="B29" s="5" t="s">
        <v>18</v>
      </c>
      <c r="C29" s="6"/>
      <c r="D29" s="6"/>
      <c r="E29" s="6"/>
      <c r="F29" s="6"/>
      <c r="G29" s="6"/>
      <c r="H29" s="6"/>
      <c r="I29" s="6"/>
      <c r="J29" s="16"/>
    </row>
    <row r="30" ht="14.25" customHeight="1" spans="1:10">
      <c r="A30" s="2"/>
      <c r="B30" s="7" t="s">
        <v>5</v>
      </c>
      <c r="C30" s="7" t="s">
        <v>6</v>
      </c>
      <c r="D30" s="7" t="s">
        <v>7</v>
      </c>
      <c r="E30" s="7" t="s">
        <v>8</v>
      </c>
      <c r="F30" s="7" t="s">
        <v>9</v>
      </c>
      <c r="G30" s="7" t="s">
        <v>10</v>
      </c>
      <c r="H30" s="7" t="s">
        <v>11</v>
      </c>
      <c r="I30" s="7" t="s">
        <v>12</v>
      </c>
      <c r="J30" s="17"/>
    </row>
    <row r="31" ht="14.25" customHeight="1" spans="1:10">
      <c r="A31" s="2"/>
      <c r="B31" s="8">
        <v>0.0223</v>
      </c>
      <c r="C31" s="8">
        <v>0.1</v>
      </c>
      <c r="D31" s="8">
        <v>0</v>
      </c>
      <c r="E31" s="8">
        <v>10</v>
      </c>
      <c r="F31" s="8">
        <f t="shared" ref="F31:F37" si="9">-3.14*SQRT(POWER(B31,2)-POWER(D31,2))/(4*C31)</f>
        <v>-0.175055</v>
      </c>
      <c r="G31" s="8">
        <f t="shared" ref="G31:G37" si="10">(-3.14*D31)/(4*C31)</f>
        <v>0</v>
      </c>
      <c r="H31" s="8">
        <f t="shared" ref="H31:H37" si="11">SQRT(POWER(F31,2)+POWER(G31,2))</f>
        <v>0.175055</v>
      </c>
      <c r="I31" s="8">
        <f t="shared" ref="I31:I37" si="12">(ATAN(G31/F31)*180/3.14)</f>
        <v>0</v>
      </c>
      <c r="J31" s="18" t="s">
        <v>13</v>
      </c>
    </row>
    <row r="32" ht="14.25" customHeight="1" spans="1:10">
      <c r="A32" s="2"/>
      <c r="B32" s="7">
        <v>0.0259</v>
      </c>
      <c r="C32" s="7">
        <v>0.1</v>
      </c>
      <c r="D32" s="7">
        <v>0.01</v>
      </c>
      <c r="E32" s="7">
        <v>12</v>
      </c>
      <c r="F32" s="7">
        <f t="shared" si="9"/>
        <v>-0.187549298119188</v>
      </c>
      <c r="G32" s="7">
        <f t="shared" si="10"/>
        <v>-0.0785</v>
      </c>
      <c r="H32" s="7">
        <f t="shared" si="11"/>
        <v>0.203315</v>
      </c>
      <c r="I32" s="7">
        <f t="shared" si="12"/>
        <v>22.7235904709568</v>
      </c>
      <c r="J32" s="17"/>
    </row>
    <row r="33" ht="14.25" customHeight="1" spans="1:10">
      <c r="A33" s="2"/>
      <c r="B33" s="9">
        <v>0.0341</v>
      </c>
      <c r="C33" s="9">
        <v>0.1</v>
      </c>
      <c r="D33" s="9">
        <v>0.015</v>
      </c>
      <c r="E33" s="9">
        <v>18</v>
      </c>
      <c r="F33" s="9">
        <f t="shared" si="9"/>
        <v>-0.240395916614655</v>
      </c>
      <c r="G33" s="9">
        <f t="shared" si="10"/>
        <v>-0.11775</v>
      </c>
      <c r="H33" s="9">
        <f t="shared" si="11"/>
        <v>0.267685</v>
      </c>
      <c r="I33" s="9">
        <f t="shared" si="12"/>
        <v>26.1096335173116</v>
      </c>
      <c r="J33" s="20" t="s">
        <v>17</v>
      </c>
    </row>
    <row r="34" ht="14.25" customHeight="1" spans="2:10">
      <c r="B34" s="7">
        <v>0.0382</v>
      </c>
      <c r="C34" s="7">
        <v>0.1</v>
      </c>
      <c r="D34" s="7">
        <v>0.02</v>
      </c>
      <c r="E34" s="7">
        <v>18</v>
      </c>
      <c r="F34" s="7">
        <f t="shared" si="9"/>
        <v>-0.255485844813367</v>
      </c>
      <c r="G34" s="7">
        <f t="shared" si="10"/>
        <v>-0.157</v>
      </c>
      <c r="H34" s="7">
        <f t="shared" si="11"/>
        <v>0.29987</v>
      </c>
      <c r="I34" s="7">
        <f t="shared" si="12"/>
        <v>31.5873811952257</v>
      </c>
      <c r="J34" s="17"/>
    </row>
    <row r="35" ht="14.25" customHeight="1" spans="2:10">
      <c r="B35" s="13">
        <v>0.0459</v>
      </c>
      <c r="C35" s="13">
        <v>0.1</v>
      </c>
      <c r="D35" s="13">
        <v>0.03</v>
      </c>
      <c r="E35" s="13">
        <v>24</v>
      </c>
      <c r="F35" s="13">
        <f t="shared" si="9"/>
        <v>-0.272702492150329</v>
      </c>
      <c r="G35" s="13">
        <f t="shared" si="10"/>
        <v>-0.2355</v>
      </c>
      <c r="H35" s="13">
        <f t="shared" si="11"/>
        <v>0.360315</v>
      </c>
      <c r="I35" s="13">
        <f t="shared" si="12"/>
        <v>40.8338847974008</v>
      </c>
      <c r="J35" s="21" t="s">
        <v>15</v>
      </c>
    </row>
    <row r="36" ht="14.25" customHeight="1" spans="1:10">
      <c r="A36" s="2"/>
      <c r="B36" s="7">
        <v>0.0499</v>
      </c>
      <c r="C36" s="7">
        <v>0.1</v>
      </c>
      <c r="D36" s="7">
        <v>0.04</v>
      </c>
      <c r="E36" s="7">
        <v>26</v>
      </c>
      <c r="F36" s="7">
        <f t="shared" si="9"/>
        <v>-0.234189327735061</v>
      </c>
      <c r="G36" s="7">
        <f t="shared" si="10"/>
        <v>-0.314</v>
      </c>
      <c r="H36" s="7">
        <f t="shared" si="11"/>
        <v>0.391715</v>
      </c>
      <c r="I36" s="7">
        <f t="shared" si="12"/>
        <v>53.3104973133832</v>
      </c>
      <c r="J36" s="17"/>
    </row>
    <row r="37" ht="14.25" customHeight="1" spans="1:10">
      <c r="A37" s="2"/>
      <c r="B37" s="7">
        <v>0.0602</v>
      </c>
      <c r="C37" s="7">
        <v>0.1</v>
      </c>
      <c r="D37" s="7">
        <v>0.05</v>
      </c>
      <c r="E37" s="7">
        <v>34</v>
      </c>
      <c r="F37" s="7">
        <f t="shared" si="9"/>
        <v>-0.263184640319301</v>
      </c>
      <c r="G37" s="7">
        <f t="shared" si="10"/>
        <v>-0.3925</v>
      </c>
      <c r="H37" s="7">
        <f t="shared" si="11"/>
        <v>0.47257</v>
      </c>
      <c r="I37" s="7">
        <f t="shared" si="12"/>
        <v>56.1852823044371</v>
      </c>
      <c r="J37" s="17"/>
    </row>
    <row r="38" ht="14.25" customHeight="1" spans="1:10">
      <c r="A38" s="2"/>
      <c r="B38" s="14"/>
      <c r="C38" s="14"/>
      <c r="D38" s="14"/>
      <c r="E38" s="14"/>
      <c r="F38" s="14"/>
      <c r="G38" s="14"/>
      <c r="H38" s="14"/>
      <c r="I38" s="14"/>
      <c r="J38" s="22"/>
    </row>
    <row r="39" ht="14.25" customHeight="1" spans="1:10">
      <c r="A39" s="2"/>
      <c r="B39" s="14"/>
      <c r="C39" s="14"/>
      <c r="D39" s="14"/>
      <c r="E39" s="14"/>
      <c r="F39" s="14"/>
      <c r="G39" s="14"/>
      <c r="H39" s="14"/>
      <c r="I39" s="14"/>
      <c r="J39" s="22"/>
    </row>
    <row r="40" ht="14.25" customHeight="1" spans="1:10">
      <c r="A40" s="2"/>
      <c r="B40" s="15"/>
      <c r="C40" s="15"/>
      <c r="D40" s="15"/>
      <c r="E40" s="15"/>
      <c r="F40" s="15"/>
      <c r="G40" s="15"/>
      <c r="H40" s="15"/>
      <c r="I40" s="15"/>
      <c r="J40" s="23"/>
    </row>
    <row r="41" ht="14.25" customHeight="1" spans="1:10">
      <c r="A41" s="2"/>
      <c r="B41" s="14"/>
      <c r="C41" s="14"/>
      <c r="D41" s="14"/>
      <c r="E41" s="14"/>
      <c r="F41" s="14"/>
      <c r="G41" s="14"/>
      <c r="H41" s="14"/>
      <c r="I41" s="14"/>
      <c r="J41" s="22"/>
    </row>
    <row r="42" ht="14.25" customHeight="1" spans="1:10">
      <c r="A42" s="2"/>
      <c r="B42" s="15"/>
      <c r="C42" s="15"/>
      <c r="D42" s="15"/>
      <c r="E42" s="15"/>
      <c r="F42" s="15"/>
      <c r="G42" s="15"/>
      <c r="H42" s="15"/>
      <c r="I42" s="15"/>
      <c r="J42" s="23"/>
    </row>
    <row r="43" ht="14.25" customHeight="1" spans="1:10">
      <c r="A43" s="2"/>
      <c r="B43" s="14"/>
      <c r="C43" s="14"/>
      <c r="D43" s="14"/>
      <c r="E43" s="14"/>
      <c r="F43" s="14"/>
      <c r="G43" s="14"/>
      <c r="H43" s="14"/>
      <c r="I43" s="14"/>
      <c r="J43" s="22"/>
    </row>
    <row r="44" ht="14.25" customHeight="1" spans="1:10">
      <c r="A44" s="2"/>
      <c r="B44" s="14"/>
      <c r="C44" s="14"/>
      <c r="D44" s="14"/>
      <c r="E44" s="14"/>
      <c r="F44" s="14"/>
      <c r="G44" s="14"/>
      <c r="H44" s="14"/>
      <c r="I44" s="14"/>
      <c r="J44" s="22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4">
    <mergeCell ref="B2:J2"/>
    <mergeCell ref="B7:J7"/>
    <mergeCell ref="B18:J18"/>
    <mergeCell ref="B29:J29"/>
  </mergeCells>
  <pageMargins left="1" right="1" top="0.75" bottom="0.75" header="0" footer="0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aliba</dc:creator>
  <cp:lastModifiedBy>aliba</cp:lastModifiedBy>
  <dcterms:created xsi:type="dcterms:W3CDTF">2025-05-27T13:48:00Z</dcterms:created>
  <dcterms:modified xsi:type="dcterms:W3CDTF">2025-07-05T16:15:28Z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54A4DE58066B476DAD9C31114C36CF37_11</vt:lpwstr>
  </property>
  <property fmtid="{D5CDD505-2E9C-101B-9397-08002B2CF9AE}" pid="3" name="KSOProductBuildVer">
    <vt:lpwstr>2057-12.2.0.21602</vt:lpwstr>
  </property>
</Properties>
</file>