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EctI7RGiGqnqZjI17XBAwsUplzkdG57o4bEWdtOMck="/>
    </ext>
  </extLst>
</workbook>
</file>

<file path=xl/sharedStrings.xml><?xml version="1.0" encoding="utf-8"?>
<sst xmlns="http://schemas.openxmlformats.org/spreadsheetml/2006/main" count="81" uniqueCount="23">
  <si>
    <t>Tabelas para os passos do Método Sequencial para sintonia de controladores para sistemas TITO</t>
  </si>
  <si>
    <t>Passo1 - Temperatura</t>
  </si>
  <si>
    <t>a_max</t>
  </si>
  <si>
    <t>a_min</t>
  </si>
  <si>
    <t>T1</t>
  </si>
  <si>
    <t>T2</t>
  </si>
  <si>
    <t>a</t>
  </si>
  <si>
    <t>d</t>
  </si>
  <si>
    <t>eps</t>
  </si>
  <si>
    <t>Tu</t>
  </si>
  <si>
    <t>Re(G)</t>
  </si>
  <si>
    <t>Im(G)</t>
  </si>
  <si>
    <t>|G|</t>
  </si>
  <si>
    <t>Fase de G</t>
  </si>
  <si>
    <t>Ponto Crítico</t>
  </si>
  <si>
    <t>Ponto de Projeto</t>
  </si>
  <si>
    <t>Ponto de Maxima Derivada</t>
  </si>
  <si>
    <t>Passo 2 - Umidade</t>
  </si>
  <si>
    <t>Ponto de Máxima Derivada</t>
  </si>
  <si>
    <t>Passo 3 - Temperatura</t>
  </si>
  <si>
    <t>Ponto de Maxima Deivada</t>
  </si>
  <si>
    <t>Passo 4 - Umidade</t>
  </si>
  <si>
    <t>Passo 5 - Temperatura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</si>
</sst>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"/>
    <numFmt numFmtId="165" formatCode="0.000000"/>
    <numFmt numFmtId="166" formatCode="0.000000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D9D9D9"/>
      </right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000000"/>
      </right>
      <bottom style="thin">
        <color rgb="FFD9D9D9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readingOrder="0" vertical="center"/>
    </xf>
    <xf borderId="1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2" fontId="2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center" vertical="center"/>
    </xf>
    <xf borderId="9" fillId="2" fontId="2" numFmtId="0" xfId="0" applyAlignment="1" applyBorder="1" applyFont="1">
      <alignment horizontal="center" vertical="center"/>
    </xf>
    <xf borderId="10" fillId="2" fontId="2" numFmtId="0" xfId="0" applyAlignment="1" applyBorder="1" applyFont="1">
      <alignment horizontal="center" vertical="center"/>
    </xf>
    <xf borderId="11" fillId="2" fontId="2" numFmtId="0" xfId="0" applyAlignment="1" applyBorder="1" applyFont="1">
      <alignment horizontal="center" vertical="center"/>
    </xf>
    <xf borderId="12" fillId="2" fontId="2" numFmtId="0" xfId="0" applyAlignment="1" applyBorder="1" applyFont="1">
      <alignment horizontal="center" readingOrder="0" vertical="center"/>
    </xf>
    <xf borderId="1" fillId="2" fontId="2" numFmtId="164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2" fontId="2" numFmtId="165" xfId="0" applyAlignment="1" applyBorder="1" applyFont="1" applyNumberFormat="1">
      <alignment horizontal="center" vertical="center"/>
    </xf>
    <xf borderId="13" fillId="2" fontId="2" numFmtId="0" xfId="0" applyAlignment="1" applyBorder="1" applyFont="1">
      <alignment horizontal="center" vertical="center"/>
    </xf>
    <xf borderId="13" fillId="2" fontId="2" numFmtId="0" xfId="0" applyAlignment="1" applyBorder="1" applyFont="1">
      <alignment horizontal="center" readingOrder="0" vertical="center"/>
    </xf>
    <xf borderId="14" fillId="2" fontId="2" numFmtId="0" xfId="0" applyAlignment="1" applyBorder="1" applyFont="1">
      <alignment horizontal="center" readingOrder="0" vertical="center"/>
    </xf>
    <xf borderId="15" fillId="2" fontId="2" numFmtId="0" xfId="0" applyAlignment="1" applyBorder="1" applyFont="1">
      <alignment horizontal="center" readingOrder="0" vertical="center"/>
    </xf>
    <xf borderId="15" fillId="2" fontId="2" numFmtId="0" xfId="0" applyAlignment="1" applyBorder="1" applyFont="1">
      <alignment horizontal="center" vertical="center"/>
    </xf>
    <xf borderId="15" fillId="2" fontId="2" numFmtId="165" xfId="0" applyAlignment="1" applyBorder="1" applyFont="1" applyNumberFormat="1">
      <alignment horizontal="center" vertical="center"/>
    </xf>
    <xf borderId="16" fillId="2" fontId="2" numFmtId="0" xfId="0" applyAlignment="1" applyBorder="1" applyFont="1">
      <alignment horizontal="center" readingOrder="0" vertical="center"/>
    </xf>
    <xf borderId="17" fillId="2" fontId="2" numFmtId="0" xfId="0" applyAlignment="1" applyBorder="1" applyFont="1">
      <alignment horizontal="center" vertical="center"/>
    </xf>
    <xf borderId="18" fillId="2" fontId="2" numFmtId="0" xfId="0" applyAlignment="1" applyBorder="1" applyFont="1">
      <alignment horizontal="center" vertical="center"/>
    </xf>
    <xf borderId="19" fillId="2" fontId="2" numFmtId="0" xfId="0" applyAlignment="1" applyBorder="1" applyFont="1">
      <alignment horizontal="center" vertical="center"/>
    </xf>
    <xf borderId="20" fillId="2" fontId="2" numFmtId="0" xfId="0" applyAlignment="1" applyBorder="1" applyFont="1">
      <alignment horizontal="center" vertical="center"/>
    </xf>
    <xf borderId="21" fillId="2" fontId="2" numFmtId="0" xfId="0" applyAlignment="1" applyBorder="1" applyFont="1">
      <alignment horizontal="center" vertical="center"/>
    </xf>
    <xf borderId="22" fillId="2" fontId="2" numFmtId="0" xfId="0" applyAlignment="1" applyBorder="1" applyFont="1">
      <alignment horizontal="center" vertical="center"/>
    </xf>
    <xf borderId="23" fillId="2" fontId="2" numFmtId="0" xfId="0" applyAlignment="1" applyBorder="1" applyFont="1">
      <alignment horizontal="center" vertical="center"/>
    </xf>
    <xf borderId="12" fillId="2" fontId="2" numFmtId="164" xfId="0" applyAlignment="1" applyBorder="1" applyFont="1" applyNumberFormat="1">
      <alignment horizontal="center" readingOrder="0" vertical="center"/>
    </xf>
    <xf borderId="1" fillId="2" fontId="2" numFmtId="3" xfId="0" applyAlignment="1" applyBorder="1" applyFont="1" applyNumberFormat="1">
      <alignment horizontal="center" readingOrder="0" vertical="center"/>
    </xf>
    <xf borderId="1" fillId="2" fontId="2" numFmtId="164" xfId="0" applyAlignment="1" applyBorder="1" applyFont="1" applyNumberFormat="1">
      <alignment horizontal="center" vertical="center"/>
    </xf>
    <xf borderId="1" fillId="2" fontId="2" numFmtId="3" xfId="0" applyAlignment="1" applyBorder="1" applyFont="1" applyNumberFormat="1">
      <alignment horizontal="center" vertical="center"/>
    </xf>
    <xf borderId="12" fillId="2" fontId="2" numFmtId="164" xfId="0" applyAlignment="1" applyBorder="1" applyFont="1" applyNumberForma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2" fontId="2" numFmtId="3" xfId="0" applyAlignment="1" applyBorder="1" applyFont="1" applyNumberFormat="1">
      <alignment horizontal="center" vertical="center"/>
    </xf>
    <xf borderId="14" fillId="2" fontId="2" numFmtId="164" xfId="0" applyAlignment="1" applyBorder="1" applyFont="1" applyNumberFormat="1">
      <alignment horizontal="center" readingOrder="0" vertical="center"/>
    </xf>
    <xf borderId="15" fillId="2" fontId="2" numFmtId="164" xfId="0" applyAlignment="1" applyBorder="1" applyFont="1" applyNumberFormat="1">
      <alignment horizontal="center" readingOrder="0" vertical="center"/>
    </xf>
    <xf borderId="15" fillId="2" fontId="2" numFmtId="3" xfId="0" applyAlignment="1" applyBorder="1" applyFont="1" applyNumberFormat="1">
      <alignment horizontal="center" readingOrder="0" vertical="center"/>
    </xf>
    <xf borderId="15" fillId="2" fontId="2" numFmtId="164" xfId="0" applyAlignment="1" applyBorder="1" applyFont="1" applyNumberFormat="1">
      <alignment horizontal="center" vertical="center"/>
    </xf>
    <xf borderId="15" fillId="2" fontId="2" numFmtId="3" xfId="0" applyAlignment="1" applyBorder="1" applyFont="1" applyNumberFormat="1">
      <alignment horizontal="center" vertical="center"/>
    </xf>
    <xf borderId="17" fillId="2" fontId="2" numFmtId="0" xfId="0" applyAlignment="1" applyBorder="1" applyFont="1">
      <alignment horizontal="center" readingOrder="0" vertical="center"/>
    </xf>
    <xf borderId="12" fillId="2" fontId="2" numFmtId="164" xfId="0" applyAlignment="1" applyBorder="1" applyFont="1" applyNumberFormat="1">
      <alignment horizontal="center" readingOrder="0" vertical="center"/>
    </xf>
    <xf borderId="1" fillId="2" fontId="2" numFmtId="164" xfId="0" applyAlignment="1" applyBorder="1" applyFont="1" applyNumberFormat="1">
      <alignment horizontal="center" readingOrder="0" vertical="center"/>
    </xf>
    <xf borderId="1" fillId="2" fontId="2" numFmtId="3" xfId="0" applyAlignment="1" applyBorder="1" applyFont="1" applyNumberFormat="1">
      <alignment horizontal="center" readingOrder="0" vertical="center"/>
    </xf>
    <xf borderId="16" fillId="2" fontId="2" numFmtId="0" xfId="0" applyAlignment="1" applyBorder="1" applyFont="1">
      <alignment horizontal="center" vertical="center"/>
    </xf>
    <xf borderId="17" fillId="2" fontId="2" numFmtId="164" xfId="0" applyAlignment="1" applyBorder="1" applyFont="1" applyNumberFormat="1">
      <alignment horizontal="center" readingOrder="0" vertical="center"/>
    </xf>
    <xf borderId="17" fillId="2" fontId="2" numFmtId="3" xfId="0" applyAlignment="1" applyBorder="1" applyFont="1" applyNumberFormat="1">
      <alignment horizontal="center" readingOrder="0" vertical="center"/>
    </xf>
    <xf borderId="17" fillId="2" fontId="2" numFmtId="164" xfId="0" applyAlignment="1" applyBorder="1" applyFont="1" applyNumberFormat="1">
      <alignment horizontal="center" vertical="center"/>
    </xf>
    <xf borderId="17" fillId="2" fontId="2" numFmtId="165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17" fillId="2" fontId="2" numFmtId="166" xfId="0" applyAlignment="1" applyBorder="1" applyFont="1" applyNumberFormat="1">
      <alignment horizontal="center" vertical="center"/>
    </xf>
    <xf borderId="22" fillId="2" fontId="1" numFmtId="0" xfId="0" applyAlignment="1" applyBorder="1" applyFont="1">
      <alignment readingOrder="0" vertical="center"/>
    </xf>
    <xf borderId="22" fillId="2" fontId="1" numFmtId="0" xfId="0" applyAlignment="1" applyBorder="1" applyFont="1">
      <alignment vertical="center"/>
    </xf>
    <xf borderId="1" fillId="2" fontId="2" numFmtId="166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86"/>
    <col customWidth="1" min="5" max="5" width="11.71"/>
    <col customWidth="1" min="6" max="8" width="8.86"/>
    <col customWidth="1" min="9" max="10" width="14.14"/>
    <col customWidth="1" min="11" max="12" width="12.86"/>
    <col customWidth="1" min="13" max="13" width="27.43"/>
    <col customWidth="1" min="14" max="26" width="8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4.25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14.25" customHeight="1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</row>
    <row r="4" ht="14.25" customHeight="1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0"/>
    </row>
    <row r="5" ht="14.25" customHeight="1">
      <c r="A5" s="11" t="s">
        <v>2</v>
      </c>
      <c r="B5" s="12" t="s">
        <v>3</v>
      </c>
      <c r="C5" s="12" t="s">
        <v>4</v>
      </c>
      <c r="D5" s="12" t="s">
        <v>5</v>
      </c>
      <c r="E5" s="12" t="s">
        <v>6</v>
      </c>
      <c r="F5" s="12" t="s">
        <v>7</v>
      </c>
      <c r="G5" s="12" t="s">
        <v>8</v>
      </c>
      <c r="H5" s="12" t="s">
        <v>9</v>
      </c>
      <c r="I5" s="12" t="s">
        <v>10</v>
      </c>
      <c r="J5" s="12" t="s">
        <v>11</v>
      </c>
      <c r="K5" s="12" t="s">
        <v>12</v>
      </c>
      <c r="L5" s="12" t="s">
        <v>13</v>
      </c>
      <c r="M5" s="13"/>
    </row>
    <row r="6" ht="14.25" customHeight="1">
      <c r="A6" s="14">
        <v>38.8529</v>
      </c>
      <c r="B6" s="15">
        <v>29.0297</v>
      </c>
      <c r="C6" s="16">
        <v>4536.0</v>
      </c>
      <c r="D6" s="16">
        <v>5094.0</v>
      </c>
      <c r="E6" s="17">
        <f t="shared" ref="E6:E8" si="1">(A6-B6)/2</f>
        <v>4.9116</v>
      </c>
      <c r="F6" s="16">
        <v>15.0</v>
      </c>
      <c r="G6" s="17">
        <v>0.0</v>
      </c>
      <c r="H6" s="17">
        <f t="shared" ref="H6:H8" si="2">(D6-C6)</f>
        <v>558</v>
      </c>
      <c r="I6" s="18">
        <f t="shared" ref="I6:I8" si="3">-3.14*SQRT(POWER(E6,2)-POWER(G6,2))/(4*F6)</f>
        <v>-0.2570404</v>
      </c>
      <c r="J6" s="18">
        <f t="shared" ref="J6:J8" si="4">(-3.14*G6)/(4*F6)</f>
        <v>0</v>
      </c>
      <c r="K6" s="18">
        <f t="shared" ref="K6:K8" si="5">SQRT(POWER(I6,2)+POWER(J6,2))</f>
        <v>0.2570404</v>
      </c>
      <c r="L6" s="18">
        <f t="shared" ref="L6:L8" si="6">ATAN(J6/I6)</f>
        <v>0</v>
      </c>
      <c r="M6" s="19" t="s">
        <v>14</v>
      </c>
    </row>
    <row r="7" ht="14.25" customHeight="1">
      <c r="A7" s="14">
        <v>38.3295</v>
      </c>
      <c r="B7" s="16">
        <v>28.5939</v>
      </c>
      <c r="C7" s="16">
        <v>3132.0</v>
      </c>
      <c r="D7" s="16">
        <v>3708.0</v>
      </c>
      <c r="E7" s="17">
        <f t="shared" si="1"/>
        <v>4.8678</v>
      </c>
      <c r="F7" s="16">
        <v>15.0</v>
      </c>
      <c r="G7" s="16">
        <v>0.5</v>
      </c>
      <c r="H7" s="17">
        <f t="shared" si="2"/>
        <v>576</v>
      </c>
      <c r="I7" s="18">
        <f t="shared" si="3"/>
        <v>-0.2534007714</v>
      </c>
      <c r="J7" s="18">
        <f t="shared" si="4"/>
        <v>-0.02616666667</v>
      </c>
      <c r="K7" s="18">
        <f t="shared" si="5"/>
        <v>0.2547482</v>
      </c>
      <c r="L7" s="18">
        <f t="shared" si="6"/>
        <v>0.1028972867</v>
      </c>
      <c r="M7" s="20" t="s">
        <v>15</v>
      </c>
    </row>
    <row r="8" ht="14.25" customHeight="1">
      <c r="A8" s="21">
        <v>40.2649</v>
      </c>
      <c r="B8" s="22">
        <v>28.2557</v>
      </c>
      <c r="C8" s="22">
        <v>2952.0</v>
      </c>
      <c r="D8" s="22">
        <v>3636.0</v>
      </c>
      <c r="E8" s="23">
        <f t="shared" si="1"/>
        <v>6.0046</v>
      </c>
      <c r="F8" s="22">
        <v>15.0</v>
      </c>
      <c r="G8" s="22">
        <v>1.0</v>
      </c>
      <c r="H8" s="23">
        <f t="shared" si="2"/>
        <v>684</v>
      </c>
      <c r="I8" s="24">
        <f t="shared" si="3"/>
        <v>-0.3098523208</v>
      </c>
      <c r="J8" s="24">
        <f t="shared" si="4"/>
        <v>-0.05233333333</v>
      </c>
      <c r="K8" s="24">
        <f t="shared" si="5"/>
        <v>0.3142407333</v>
      </c>
      <c r="L8" s="24">
        <f t="shared" si="6"/>
        <v>0.1673185896</v>
      </c>
      <c r="M8" s="25" t="s">
        <v>16</v>
      </c>
    </row>
    <row r="9" ht="14.2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</row>
    <row r="10" ht="14.25" customHeight="1">
      <c r="A10" s="5" t="s">
        <v>17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7"/>
    </row>
    <row r="11" ht="14.25" customHeight="1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9"/>
    </row>
    <row r="12" ht="14.25" customHeight="1">
      <c r="A12" s="30" t="s">
        <v>2</v>
      </c>
      <c r="B12" s="31" t="s">
        <v>3</v>
      </c>
      <c r="C12" s="31" t="s">
        <v>4</v>
      </c>
      <c r="D12" s="31" t="s">
        <v>5</v>
      </c>
      <c r="E12" s="31" t="s">
        <v>6</v>
      </c>
      <c r="F12" s="31" t="s">
        <v>7</v>
      </c>
      <c r="G12" s="31" t="s">
        <v>8</v>
      </c>
      <c r="H12" s="31" t="s">
        <v>9</v>
      </c>
      <c r="I12" s="31" t="s">
        <v>10</v>
      </c>
      <c r="J12" s="31" t="s">
        <v>11</v>
      </c>
      <c r="K12" s="31" t="s">
        <v>12</v>
      </c>
      <c r="L12" s="31" t="s">
        <v>13</v>
      </c>
      <c r="M12" s="32"/>
    </row>
    <row r="13" ht="14.25" customHeight="1">
      <c r="A13" s="33">
        <v>54.4013</v>
      </c>
      <c r="B13" s="15">
        <v>48.1404</v>
      </c>
      <c r="C13" s="34">
        <v>6948.0</v>
      </c>
      <c r="D13" s="34">
        <v>7056.0</v>
      </c>
      <c r="E13" s="35">
        <f t="shared" ref="E13:E17" si="7">(A13-B13)/2</f>
        <v>3.13045</v>
      </c>
      <c r="F13" s="16">
        <v>10.0</v>
      </c>
      <c r="G13" s="17">
        <v>0.0</v>
      </c>
      <c r="H13" s="36">
        <f t="shared" ref="H13:H17" si="8">(D13-C13)</f>
        <v>108</v>
      </c>
      <c r="I13" s="18">
        <f t="shared" ref="I13:I17" si="9">-3.14*SQRT(POWER(E13,2)-POWER(G13,2))/(4*F13)</f>
        <v>-0.245740325</v>
      </c>
      <c r="J13" s="18">
        <f t="shared" ref="J13:J17" si="10">(-3.14*G13)/(4*F13)</f>
        <v>0</v>
      </c>
      <c r="K13" s="18">
        <f t="shared" ref="K13:K17" si="11">SQRT(POWER(I13,2)+POWER(J13,2))</f>
        <v>0.245740325</v>
      </c>
      <c r="L13" s="18">
        <f t="shared" ref="L13:L17" si="12">ATAN(J13/I13)</f>
        <v>0</v>
      </c>
      <c r="M13" s="19" t="s">
        <v>14</v>
      </c>
    </row>
    <row r="14" ht="14.25" customHeight="1">
      <c r="A14" s="37">
        <v>55.7395</v>
      </c>
      <c r="B14" s="38">
        <v>47.4251</v>
      </c>
      <c r="C14" s="39">
        <v>7362.0</v>
      </c>
      <c r="D14" s="39">
        <v>7488.0</v>
      </c>
      <c r="E14" s="35">
        <f t="shared" si="7"/>
        <v>4.1572</v>
      </c>
      <c r="F14" s="16">
        <v>10.0</v>
      </c>
      <c r="G14" s="16">
        <v>0.5</v>
      </c>
      <c r="H14" s="36">
        <f t="shared" si="8"/>
        <v>126</v>
      </c>
      <c r="I14" s="18">
        <f t="shared" si="9"/>
        <v>-0.3239712389</v>
      </c>
      <c r="J14" s="18">
        <f t="shared" si="10"/>
        <v>-0.03925</v>
      </c>
      <c r="K14" s="18">
        <f t="shared" si="11"/>
        <v>0.3263402</v>
      </c>
      <c r="L14" s="18">
        <f t="shared" si="12"/>
        <v>0.1205651368</v>
      </c>
      <c r="M14" s="20" t="s">
        <v>15</v>
      </c>
    </row>
    <row r="15" ht="14.25" customHeight="1">
      <c r="A15" s="33">
        <v>54.7754</v>
      </c>
      <c r="B15" s="15">
        <v>46.1892</v>
      </c>
      <c r="C15" s="34">
        <v>7920.0</v>
      </c>
      <c r="D15" s="34">
        <v>8082.0</v>
      </c>
      <c r="E15" s="35">
        <f t="shared" si="7"/>
        <v>4.2931</v>
      </c>
      <c r="F15" s="16">
        <v>10.0</v>
      </c>
      <c r="G15" s="16">
        <v>1.0</v>
      </c>
      <c r="H15" s="36">
        <f t="shared" si="8"/>
        <v>162</v>
      </c>
      <c r="I15" s="18">
        <f t="shared" si="9"/>
        <v>-0.3277382766</v>
      </c>
      <c r="J15" s="18">
        <f t="shared" si="10"/>
        <v>-0.0785</v>
      </c>
      <c r="K15" s="18">
        <f t="shared" si="11"/>
        <v>0.33700835</v>
      </c>
      <c r="L15" s="18">
        <f t="shared" si="12"/>
        <v>0.2350914428</v>
      </c>
      <c r="M15" s="20"/>
    </row>
    <row r="16" ht="14.25" customHeight="1">
      <c r="A16" s="33">
        <v>55.5076</v>
      </c>
      <c r="B16" s="15">
        <v>44.3236</v>
      </c>
      <c r="C16" s="34">
        <v>6300.0</v>
      </c>
      <c r="D16" s="34">
        <v>6480.0</v>
      </c>
      <c r="E16" s="35">
        <f t="shared" si="7"/>
        <v>5.592</v>
      </c>
      <c r="F16" s="16">
        <v>10.0</v>
      </c>
      <c r="G16" s="16">
        <v>1.5</v>
      </c>
      <c r="H16" s="36">
        <f t="shared" si="8"/>
        <v>180</v>
      </c>
      <c r="I16" s="18">
        <f t="shared" si="9"/>
        <v>-0.4228845638</v>
      </c>
      <c r="J16" s="18">
        <f t="shared" si="10"/>
        <v>-0.11775</v>
      </c>
      <c r="K16" s="18">
        <f t="shared" si="11"/>
        <v>0.438972</v>
      </c>
      <c r="L16" s="18">
        <f t="shared" si="12"/>
        <v>0.2715659679</v>
      </c>
      <c r="M16" s="20" t="s">
        <v>18</v>
      </c>
    </row>
    <row r="17" ht="14.25" customHeight="1">
      <c r="A17" s="40">
        <v>55.9931</v>
      </c>
      <c r="B17" s="41">
        <v>45.1489</v>
      </c>
      <c r="C17" s="42">
        <v>7398.0</v>
      </c>
      <c r="D17" s="42">
        <v>7578.0</v>
      </c>
      <c r="E17" s="43">
        <f t="shared" si="7"/>
        <v>5.4221</v>
      </c>
      <c r="F17" s="22">
        <v>10.0</v>
      </c>
      <c r="G17" s="22">
        <v>2.0</v>
      </c>
      <c r="H17" s="44">
        <f t="shared" si="8"/>
        <v>180</v>
      </c>
      <c r="I17" s="24">
        <f t="shared" si="9"/>
        <v>-0.3956210631</v>
      </c>
      <c r="J17" s="24">
        <f t="shared" si="10"/>
        <v>-0.157</v>
      </c>
      <c r="K17" s="24">
        <f t="shared" si="11"/>
        <v>0.42563485</v>
      </c>
      <c r="L17" s="24">
        <f t="shared" si="12"/>
        <v>0.3777830683</v>
      </c>
      <c r="M17" s="25"/>
    </row>
    <row r="18" ht="14.25" customHeight="1">
      <c r="A18" s="4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ht="14.25" customHeight="1">
      <c r="A19" s="5" t="s">
        <v>19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7"/>
    </row>
    <row r="20" ht="14.25" customHeight="1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9"/>
    </row>
    <row r="21" ht="14.25" customHeight="1">
      <c r="A21" s="30" t="s">
        <v>2</v>
      </c>
      <c r="B21" s="31" t="s">
        <v>3</v>
      </c>
      <c r="C21" s="31" t="s">
        <v>4</v>
      </c>
      <c r="D21" s="31" t="s">
        <v>5</v>
      </c>
      <c r="E21" s="31" t="s">
        <v>6</v>
      </c>
      <c r="F21" s="31" t="s">
        <v>7</v>
      </c>
      <c r="G21" s="31" t="s">
        <v>8</v>
      </c>
      <c r="H21" s="31" t="s">
        <v>9</v>
      </c>
      <c r="I21" s="31" t="s">
        <v>10</v>
      </c>
      <c r="J21" s="31" t="s">
        <v>11</v>
      </c>
      <c r="K21" s="31" t="s">
        <v>12</v>
      </c>
      <c r="L21" s="31" t="s">
        <v>13</v>
      </c>
      <c r="M21" s="32"/>
    </row>
    <row r="22" ht="14.25" customHeight="1">
      <c r="A22" s="33">
        <v>38.5167</v>
      </c>
      <c r="B22" s="15">
        <v>29.1265</v>
      </c>
      <c r="C22" s="34">
        <v>6048.0</v>
      </c>
      <c r="D22" s="34">
        <v>6480.0</v>
      </c>
      <c r="E22" s="35">
        <f t="shared" ref="E22:E25" si="13">(A22-B22)/2</f>
        <v>4.6951</v>
      </c>
      <c r="F22" s="16">
        <v>15.0</v>
      </c>
      <c r="G22" s="17">
        <v>0.0</v>
      </c>
      <c r="H22" s="36">
        <f t="shared" ref="H22:H25" si="14">(D22-C22)</f>
        <v>432</v>
      </c>
      <c r="I22" s="18">
        <f t="shared" ref="I22:I25" si="15">-3.14*SQRT(POWER(E22,2)-POWER(G22,2))/(4*F22)</f>
        <v>-0.2457102333</v>
      </c>
      <c r="J22" s="18">
        <f t="shared" ref="J22:J25" si="16">(-3.14*G22)/(4*F22)</f>
        <v>0</v>
      </c>
      <c r="K22" s="18">
        <f t="shared" ref="K22:K25" si="17">SQRT(POWER(I22,2)+POWER(J22,2))</f>
        <v>0.2457102333</v>
      </c>
      <c r="L22" s="18">
        <f t="shared" ref="L22:L25" si="18">ATAN(J22/I22)</f>
        <v>0</v>
      </c>
      <c r="M22" s="19" t="s">
        <v>14</v>
      </c>
    </row>
    <row r="23" ht="14.25" customHeight="1">
      <c r="A23" s="46">
        <v>38.3389</v>
      </c>
      <c r="B23" s="47">
        <v>28.5541</v>
      </c>
      <c r="C23" s="48">
        <v>7218.0</v>
      </c>
      <c r="D23" s="48">
        <v>7686.0</v>
      </c>
      <c r="E23" s="35">
        <f t="shared" si="13"/>
        <v>4.8924</v>
      </c>
      <c r="F23" s="16">
        <v>15.0</v>
      </c>
      <c r="G23" s="16">
        <v>0.5</v>
      </c>
      <c r="H23" s="36">
        <f t="shared" si="14"/>
        <v>468</v>
      </c>
      <c r="I23" s="18">
        <f t="shared" si="15"/>
        <v>-0.2546949823</v>
      </c>
      <c r="J23" s="18">
        <f t="shared" si="16"/>
        <v>-0.02616666667</v>
      </c>
      <c r="K23" s="18">
        <f t="shared" si="17"/>
        <v>0.2560356</v>
      </c>
      <c r="L23" s="18">
        <f t="shared" si="18"/>
        <v>0.1023780779</v>
      </c>
      <c r="M23" s="20" t="s">
        <v>15</v>
      </c>
    </row>
    <row r="24" ht="14.25" customHeight="1">
      <c r="A24" s="33">
        <v>40.2375</v>
      </c>
      <c r="B24" s="15">
        <v>28.2292</v>
      </c>
      <c r="C24" s="34">
        <v>6948.0</v>
      </c>
      <c r="D24" s="34">
        <v>7506.0</v>
      </c>
      <c r="E24" s="35">
        <f t="shared" si="13"/>
        <v>6.00415</v>
      </c>
      <c r="F24" s="16">
        <v>15.0</v>
      </c>
      <c r="G24" s="16">
        <v>1.0</v>
      </c>
      <c r="H24" s="36">
        <f t="shared" si="14"/>
        <v>558</v>
      </c>
      <c r="I24" s="18">
        <f t="shared" si="15"/>
        <v>-0.3098284372</v>
      </c>
      <c r="J24" s="18">
        <f t="shared" si="16"/>
        <v>-0.05233333333</v>
      </c>
      <c r="K24" s="18">
        <f t="shared" si="17"/>
        <v>0.3142171833</v>
      </c>
      <c r="L24" s="18">
        <f t="shared" si="18"/>
        <v>0.1673312482</v>
      </c>
      <c r="M24" s="20" t="s">
        <v>20</v>
      </c>
    </row>
    <row r="25" ht="14.25" customHeight="1">
      <c r="A25" s="40">
        <v>39.9128</v>
      </c>
      <c r="B25" s="41">
        <v>27.7019</v>
      </c>
      <c r="C25" s="42">
        <v>6102.0</v>
      </c>
      <c r="D25" s="42">
        <v>6696.0</v>
      </c>
      <c r="E25" s="43">
        <f t="shared" si="13"/>
        <v>6.10545</v>
      </c>
      <c r="F25" s="22">
        <v>15.0</v>
      </c>
      <c r="G25" s="22">
        <v>1.5</v>
      </c>
      <c r="H25" s="44">
        <f t="shared" si="14"/>
        <v>594</v>
      </c>
      <c r="I25" s="24">
        <f t="shared" si="15"/>
        <v>-0.3097254491</v>
      </c>
      <c r="J25" s="24">
        <f t="shared" si="16"/>
        <v>-0.0785</v>
      </c>
      <c r="K25" s="24">
        <f t="shared" si="17"/>
        <v>0.31951855</v>
      </c>
      <c r="L25" s="24">
        <f t="shared" si="18"/>
        <v>0.2482233345</v>
      </c>
      <c r="M25" s="49"/>
    </row>
    <row r="26" ht="14.25" customHeight="1">
      <c r="A26" s="50"/>
      <c r="B26" s="50"/>
      <c r="C26" s="51"/>
      <c r="D26" s="51"/>
      <c r="E26" s="52"/>
      <c r="F26" s="45"/>
      <c r="G26" s="26"/>
      <c r="H26" s="26"/>
      <c r="I26" s="53"/>
      <c r="J26" s="53"/>
      <c r="K26" s="53"/>
      <c r="L26" s="53"/>
      <c r="M26" s="26"/>
    </row>
    <row r="27" ht="14.25" customHeight="1">
      <c r="A27" s="5" t="s">
        <v>21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7"/>
    </row>
    <row r="28" ht="14.25" customHeight="1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9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5"/>
    </row>
    <row r="29" ht="14.25" customHeight="1">
      <c r="A29" s="30" t="s">
        <v>2</v>
      </c>
      <c r="B29" s="31" t="s">
        <v>3</v>
      </c>
      <c r="C29" s="31" t="s">
        <v>4</v>
      </c>
      <c r="D29" s="31" t="s">
        <v>5</v>
      </c>
      <c r="E29" s="31" t="s">
        <v>6</v>
      </c>
      <c r="F29" s="31" t="s">
        <v>7</v>
      </c>
      <c r="G29" s="31" t="s">
        <v>8</v>
      </c>
      <c r="H29" s="31" t="s">
        <v>9</v>
      </c>
      <c r="I29" s="31" t="s">
        <v>10</v>
      </c>
      <c r="J29" s="31" t="s">
        <v>11</v>
      </c>
      <c r="K29" s="31" t="s">
        <v>12</v>
      </c>
      <c r="L29" s="31" t="s">
        <v>13</v>
      </c>
      <c r="M29" s="32"/>
    </row>
    <row r="30" ht="14.25" customHeight="1">
      <c r="A30" s="33">
        <v>53.5063</v>
      </c>
      <c r="B30" s="15">
        <v>49.0769</v>
      </c>
      <c r="C30" s="34">
        <v>7074.0</v>
      </c>
      <c r="D30" s="34">
        <v>7164.0</v>
      </c>
      <c r="E30" s="35">
        <f t="shared" ref="E30:E34" si="19">(A30-B30)/2</f>
        <v>2.2147</v>
      </c>
      <c r="F30" s="16">
        <v>10.0</v>
      </c>
      <c r="G30" s="17">
        <v>0.0</v>
      </c>
      <c r="H30" s="36">
        <f t="shared" ref="H30:H34" si="20">(D30-C30)</f>
        <v>90</v>
      </c>
      <c r="I30" s="18">
        <f t="shared" ref="I30:I34" si="21">-3.14*SQRT(POWER(E30,2)-POWER(G30,2))/(4*F30)</f>
        <v>-0.17385395</v>
      </c>
      <c r="J30" s="18">
        <f t="shared" ref="J30:J34" si="22">(-3.14*G30)/(4*F30)</f>
        <v>0</v>
      </c>
      <c r="K30" s="18">
        <f t="shared" ref="K30:K34" si="23">SQRT(POWER(I30,2)+POWER(J30,2))</f>
        <v>0.17385395</v>
      </c>
      <c r="L30" s="18">
        <f t="shared" ref="L30:L34" si="24">ATAN(J30/I30)</f>
        <v>0</v>
      </c>
      <c r="M30" s="19" t="s">
        <v>14</v>
      </c>
    </row>
    <row r="31" ht="14.25" customHeight="1">
      <c r="A31" s="46">
        <v>53.0741</v>
      </c>
      <c r="B31" s="47">
        <v>47.5524</v>
      </c>
      <c r="C31" s="34">
        <v>7074.0</v>
      </c>
      <c r="D31" s="48">
        <v>7182.0</v>
      </c>
      <c r="E31" s="35">
        <f t="shared" si="19"/>
        <v>2.76085</v>
      </c>
      <c r="F31" s="16">
        <v>10.0</v>
      </c>
      <c r="G31" s="16">
        <v>0.5</v>
      </c>
      <c r="H31" s="36">
        <f t="shared" si="20"/>
        <v>108</v>
      </c>
      <c r="I31" s="18">
        <f t="shared" si="21"/>
        <v>-0.2131429352</v>
      </c>
      <c r="J31" s="18">
        <f t="shared" si="22"/>
        <v>-0.03925</v>
      </c>
      <c r="K31" s="18">
        <f t="shared" si="23"/>
        <v>0.216726725</v>
      </c>
      <c r="L31" s="18">
        <f t="shared" si="24"/>
        <v>0.1821085379</v>
      </c>
      <c r="M31" s="20" t="s">
        <v>15</v>
      </c>
    </row>
    <row r="32" ht="14.25" customHeight="1">
      <c r="A32" s="33">
        <v>55.5054</v>
      </c>
      <c r="B32" s="15">
        <v>48.1073</v>
      </c>
      <c r="C32" s="34">
        <v>6444.0</v>
      </c>
      <c r="D32" s="34">
        <v>6570.0</v>
      </c>
      <c r="E32" s="35">
        <f t="shared" si="19"/>
        <v>3.69905</v>
      </c>
      <c r="F32" s="16">
        <v>10.0</v>
      </c>
      <c r="G32" s="16">
        <v>1.0</v>
      </c>
      <c r="H32" s="36">
        <f t="shared" si="20"/>
        <v>126</v>
      </c>
      <c r="I32" s="18">
        <f t="shared" si="21"/>
        <v>-0.2795632977</v>
      </c>
      <c r="J32" s="18">
        <f t="shared" si="22"/>
        <v>-0.0785</v>
      </c>
      <c r="K32" s="18">
        <f t="shared" si="23"/>
        <v>0.290375425</v>
      </c>
      <c r="L32" s="18">
        <f t="shared" si="24"/>
        <v>0.273745833</v>
      </c>
      <c r="M32" s="20"/>
    </row>
    <row r="33" ht="14.25" customHeight="1">
      <c r="A33" s="33">
        <v>55.1094</v>
      </c>
      <c r="B33" s="15">
        <v>46.7965</v>
      </c>
      <c r="C33" s="34">
        <v>6732.0</v>
      </c>
      <c r="D33" s="34">
        <v>6894.0</v>
      </c>
      <c r="E33" s="35">
        <f t="shared" si="19"/>
        <v>4.15645</v>
      </c>
      <c r="F33" s="16">
        <v>10.0</v>
      </c>
      <c r="G33" s="16">
        <v>1.5</v>
      </c>
      <c r="H33" s="36">
        <f t="shared" si="20"/>
        <v>162</v>
      </c>
      <c r="I33" s="18">
        <f t="shared" si="21"/>
        <v>-0.3042933462</v>
      </c>
      <c r="J33" s="18">
        <f t="shared" si="22"/>
        <v>-0.11775</v>
      </c>
      <c r="K33" s="18">
        <f t="shared" si="23"/>
        <v>0.326281325</v>
      </c>
      <c r="L33" s="18">
        <f t="shared" si="24"/>
        <v>0.3692165506</v>
      </c>
      <c r="M33" s="20" t="s">
        <v>18</v>
      </c>
    </row>
    <row r="34" ht="14.25" customHeight="1">
      <c r="A34" s="40">
        <v>54.2405</v>
      </c>
      <c r="B34" s="41">
        <v>46.4395</v>
      </c>
      <c r="C34" s="42">
        <v>7110.0</v>
      </c>
      <c r="D34" s="42">
        <v>7272.0</v>
      </c>
      <c r="E34" s="43">
        <f t="shared" si="19"/>
        <v>3.9005</v>
      </c>
      <c r="F34" s="22">
        <v>10.0</v>
      </c>
      <c r="G34" s="22">
        <v>2.0</v>
      </c>
      <c r="H34" s="44">
        <f t="shared" si="20"/>
        <v>162</v>
      </c>
      <c r="I34" s="24">
        <f t="shared" si="21"/>
        <v>-0.2628742224</v>
      </c>
      <c r="J34" s="24">
        <f t="shared" si="22"/>
        <v>-0.157</v>
      </c>
      <c r="K34" s="24">
        <f t="shared" si="23"/>
        <v>0.30618925</v>
      </c>
      <c r="L34" s="24">
        <f t="shared" si="24"/>
        <v>0.5383904194</v>
      </c>
      <c r="M34" s="25"/>
    </row>
    <row r="35" ht="14.25" customHeight="1">
      <c r="A35" s="45"/>
      <c r="B35" s="45"/>
      <c r="C35" s="45"/>
      <c r="D35" s="45"/>
      <c r="E35" s="26"/>
      <c r="F35" s="45"/>
      <c r="G35" s="26"/>
      <c r="H35" s="26"/>
      <c r="I35" s="56"/>
      <c r="J35" s="56"/>
      <c r="K35" s="56"/>
      <c r="L35" s="56"/>
      <c r="M35" s="26"/>
    </row>
    <row r="36" ht="14.25" customHeight="1">
      <c r="A36" s="5" t="s">
        <v>22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7"/>
    </row>
    <row r="37" ht="14.25" customHeight="1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9"/>
    </row>
    <row r="38" ht="14.25" customHeight="1">
      <c r="A38" s="30" t="s">
        <v>2</v>
      </c>
      <c r="B38" s="31" t="s">
        <v>3</v>
      </c>
      <c r="C38" s="31" t="s">
        <v>4</v>
      </c>
      <c r="D38" s="31" t="s">
        <v>5</v>
      </c>
      <c r="E38" s="31" t="s">
        <v>6</v>
      </c>
      <c r="F38" s="31" t="s">
        <v>7</v>
      </c>
      <c r="G38" s="31" t="s">
        <v>8</v>
      </c>
      <c r="H38" s="31" t="s">
        <v>9</v>
      </c>
      <c r="I38" s="31" t="s">
        <v>10</v>
      </c>
      <c r="J38" s="31" t="s">
        <v>11</v>
      </c>
      <c r="K38" s="31" t="s">
        <v>12</v>
      </c>
      <c r="L38" s="31" t="s">
        <v>13</v>
      </c>
      <c r="M38" s="32"/>
    </row>
    <row r="39" ht="14.25" customHeight="1">
      <c r="A39" s="33">
        <v>38.5846</v>
      </c>
      <c r="B39" s="15">
        <v>28.9613</v>
      </c>
      <c r="C39" s="34">
        <v>6570.0</v>
      </c>
      <c r="D39" s="34">
        <v>7020.0</v>
      </c>
      <c r="E39" s="35">
        <f t="shared" ref="E39:E42" si="25">(A39-B39)/2</f>
        <v>4.81165</v>
      </c>
      <c r="F39" s="16">
        <v>15.0</v>
      </c>
      <c r="G39" s="17">
        <v>0.0</v>
      </c>
      <c r="H39" s="36">
        <f t="shared" ref="H39:H42" si="26">(D39-C39)</f>
        <v>450</v>
      </c>
      <c r="I39" s="18">
        <f t="shared" ref="I39:I42" si="27">-3.14*SQRT(POWER(E39,2)-POWER(G39,2))/(4*F39)</f>
        <v>-0.2518096833</v>
      </c>
      <c r="J39" s="18">
        <f t="shared" ref="J39:J42" si="28">(-3.14*G39)/(4*F39)</f>
        <v>0</v>
      </c>
      <c r="K39" s="18">
        <f t="shared" ref="K39:K42" si="29">SQRT(POWER(I39,2)+POWER(J39,2))</f>
        <v>0.2518096833</v>
      </c>
      <c r="L39" s="18">
        <f t="shared" ref="L39:L42" si="30">ATAN(J39/I39)</f>
        <v>0</v>
      </c>
      <c r="M39" s="19" t="s">
        <v>14</v>
      </c>
    </row>
    <row r="40" ht="14.25" customHeight="1">
      <c r="A40" s="46">
        <v>38.2408</v>
      </c>
      <c r="B40" s="47">
        <v>28.5646</v>
      </c>
      <c r="C40" s="48">
        <v>6858.0</v>
      </c>
      <c r="D40" s="48">
        <v>7326.0</v>
      </c>
      <c r="E40" s="35">
        <f t="shared" si="25"/>
        <v>4.8381</v>
      </c>
      <c r="F40" s="16">
        <v>15.0</v>
      </c>
      <c r="G40" s="16">
        <v>0.5</v>
      </c>
      <c r="H40" s="36">
        <f t="shared" si="26"/>
        <v>468</v>
      </c>
      <c r="I40" s="18">
        <f t="shared" si="27"/>
        <v>-0.2518381555</v>
      </c>
      <c r="J40" s="18">
        <f t="shared" si="28"/>
        <v>-0.02616666667</v>
      </c>
      <c r="K40" s="18">
        <f t="shared" si="29"/>
        <v>0.2531939</v>
      </c>
      <c r="L40" s="18">
        <f t="shared" si="30"/>
        <v>0.1035312094</v>
      </c>
      <c r="M40" s="20" t="s">
        <v>15</v>
      </c>
    </row>
    <row r="41" ht="14.25" customHeight="1">
      <c r="A41" s="33">
        <v>40.2677</v>
      </c>
      <c r="B41" s="15">
        <v>28.3317</v>
      </c>
      <c r="C41" s="34">
        <v>6462.0</v>
      </c>
      <c r="D41" s="34">
        <v>7020.0</v>
      </c>
      <c r="E41" s="35">
        <f t="shared" si="25"/>
        <v>5.968</v>
      </c>
      <c r="F41" s="16">
        <v>15.0</v>
      </c>
      <c r="G41" s="16">
        <v>1.0</v>
      </c>
      <c r="H41" s="36">
        <f t="shared" si="26"/>
        <v>558</v>
      </c>
      <c r="I41" s="18">
        <f t="shared" si="27"/>
        <v>-0.3079096232</v>
      </c>
      <c r="J41" s="18">
        <f t="shared" si="28"/>
        <v>-0.05233333333</v>
      </c>
      <c r="K41" s="18">
        <f t="shared" si="29"/>
        <v>0.3123253333</v>
      </c>
      <c r="L41" s="18">
        <f t="shared" si="30"/>
        <v>0.1683544804</v>
      </c>
      <c r="M41" s="20" t="s">
        <v>16</v>
      </c>
    </row>
    <row r="42" ht="14.25" customHeight="1">
      <c r="A42" s="40">
        <v>39.811</v>
      </c>
      <c r="B42" s="41">
        <v>27.7461</v>
      </c>
      <c r="C42" s="42">
        <v>6804.0</v>
      </c>
      <c r="D42" s="42">
        <v>7398.0</v>
      </c>
      <c r="E42" s="43">
        <f t="shared" si="25"/>
        <v>6.03245</v>
      </c>
      <c r="F42" s="22">
        <v>15.0</v>
      </c>
      <c r="G42" s="22">
        <v>1.5</v>
      </c>
      <c r="H42" s="44">
        <f t="shared" si="26"/>
        <v>594</v>
      </c>
      <c r="I42" s="24">
        <f t="shared" si="27"/>
        <v>-0.3057827889</v>
      </c>
      <c r="J42" s="24">
        <f t="shared" si="28"/>
        <v>-0.0785</v>
      </c>
      <c r="K42" s="24">
        <f t="shared" si="29"/>
        <v>0.3156982167</v>
      </c>
      <c r="L42" s="24">
        <f t="shared" si="30"/>
        <v>0.2512915897</v>
      </c>
      <c r="M42" s="49"/>
    </row>
    <row r="43" ht="14.25" customHeight="1">
      <c r="A43" s="57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</row>
    <row r="44" ht="14.2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ht="14.25" customHeight="1">
      <c r="A45" s="16"/>
      <c r="B45" s="16"/>
      <c r="C45" s="16"/>
      <c r="D45" s="16"/>
      <c r="E45" s="17"/>
      <c r="F45" s="16"/>
      <c r="G45" s="17"/>
      <c r="H45" s="17"/>
      <c r="I45" s="59"/>
      <c r="J45" s="59"/>
      <c r="K45" s="59"/>
      <c r="L45" s="59"/>
      <c r="M45" s="17"/>
    </row>
    <row r="46" ht="14.25" customHeight="1">
      <c r="A46" s="16"/>
      <c r="B46" s="16"/>
      <c r="C46" s="16"/>
      <c r="D46" s="16"/>
      <c r="E46" s="17"/>
      <c r="F46" s="16"/>
      <c r="G46" s="16"/>
      <c r="H46" s="17"/>
      <c r="I46" s="59"/>
      <c r="J46" s="59"/>
      <c r="K46" s="59"/>
      <c r="L46" s="59"/>
      <c r="M46" s="17"/>
    </row>
    <row r="47" ht="14.25" customHeight="1">
      <c r="A47" s="34"/>
      <c r="B47" s="16"/>
      <c r="C47" s="16"/>
      <c r="D47" s="16"/>
      <c r="E47" s="17"/>
      <c r="F47" s="16"/>
      <c r="G47" s="16"/>
      <c r="H47" s="17"/>
      <c r="I47" s="59"/>
      <c r="J47" s="59"/>
      <c r="K47" s="59"/>
      <c r="L47" s="59"/>
      <c r="M47" s="17"/>
    </row>
    <row r="48" ht="14.25" customHeight="1">
      <c r="A48" s="16"/>
      <c r="B48" s="16"/>
      <c r="C48" s="16"/>
      <c r="D48" s="16"/>
      <c r="E48" s="17"/>
      <c r="F48" s="16"/>
      <c r="G48" s="16"/>
      <c r="H48" s="17"/>
      <c r="I48" s="59"/>
      <c r="J48" s="59"/>
      <c r="K48" s="59"/>
      <c r="L48" s="59"/>
      <c r="M48" s="17"/>
    </row>
    <row r="49" ht="14.25" customHeight="1">
      <c r="A49" s="16"/>
      <c r="B49" s="16"/>
      <c r="C49" s="16"/>
      <c r="D49" s="16"/>
      <c r="E49" s="17"/>
      <c r="F49" s="16"/>
      <c r="G49" s="16"/>
      <c r="H49" s="17"/>
      <c r="I49" s="59"/>
      <c r="J49" s="59"/>
      <c r="K49" s="59"/>
      <c r="L49" s="59"/>
      <c r="M49" s="17"/>
    </row>
    <row r="50" ht="14.25" customHeight="1">
      <c r="A50" s="2"/>
      <c r="B50" s="2"/>
      <c r="C50" s="2"/>
      <c r="D50" s="2"/>
      <c r="E50" s="17"/>
      <c r="F50" s="16"/>
      <c r="G50" s="16"/>
      <c r="H50" s="17"/>
      <c r="I50" s="59"/>
      <c r="J50" s="59"/>
      <c r="K50" s="59"/>
      <c r="L50" s="59"/>
      <c r="M50" s="17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3:M3"/>
    <mergeCell ref="A19:M19"/>
    <mergeCell ref="A10:M10"/>
    <mergeCell ref="A27:M27"/>
    <mergeCell ref="A36:M3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2025-05-27T13:48:00Z</dcterms:created>
  <dc:creator>aliba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54A4DE58066B476DAD9C31114C36CF37_11</vt:lpwstr>
  </property>
  <property fmtid="{D5CDD505-2E9C-101B-9397-08002B2CF9AE}" pid="3" name="KSOProductBuildVer">
    <vt:lpwstr>2057-12.2.0.21936</vt:lpwstr>
  </property>
</Properties>
</file>